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etim.planlama\Desktop\Akın\"/>
    </mc:Choice>
  </mc:AlternateContent>
  <xr:revisionPtr revIDLastSave="0" documentId="13_ncr:1_{1B99F21A-37A4-40CA-BE73-30E86939823E}" xr6:coauthVersionLast="47" xr6:coauthVersionMax="47" xr10:uidLastSave="{00000000-0000-0000-0000-000000000000}"/>
  <bookViews>
    <workbookView xWindow="-120" yWindow="-120" windowWidth="29040" windowHeight="15840" activeTab="1" xr2:uid="{6FD506E8-E08B-4885-A69A-6B455E4002AD}"/>
  </bookViews>
  <sheets>
    <sheet name="GIRIS_CIKIS" sheetId="2" r:id="rId1"/>
    <sheet name="STOK" sheetId="1" r:id="rId2"/>
    <sheet name="ve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G26" i="1" a="1"/>
  <c r="G26" i="1" s="1"/>
  <c r="F26" i="1" a="1"/>
  <c r="F26" i="1" s="1"/>
  <c r="E26" i="1" a="1"/>
  <c r="E26" i="1" s="1"/>
  <c r="D26" i="1" a="1"/>
  <c r="D26" i="1" s="1"/>
  <c r="C26" i="1" a="1"/>
  <c r="C26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G25" i="1" a="1"/>
  <c r="G25" i="1" s="1"/>
  <c r="F25" i="1" a="1"/>
  <c r="F25" i="1" s="1"/>
  <c r="E25" i="1" a="1"/>
  <c r="E25" i="1" s="1"/>
  <c r="D25" i="1" a="1"/>
  <c r="D25" i="1" s="1"/>
  <c r="C25" i="1" a="1"/>
  <c r="C25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 a="1"/>
  <c r="H24" i="1" s="1"/>
  <c r="G24" i="1" a="1"/>
  <c r="G24" i="1" s="1"/>
  <c r="F24" i="1" a="1"/>
  <c r="F24" i="1" s="1"/>
  <c r="E24" i="1" a="1"/>
  <c r="E24" i="1" s="1"/>
  <c r="D24" i="1" a="1"/>
  <c r="D24" i="1" s="1"/>
  <c r="C24" i="1" a="1"/>
  <c r="C24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H23" i="1" a="1"/>
  <c r="H23" i="1" s="1"/>
  <c r="G23" i="1" a="1"/>
  <c r="G23" i="1" s="1"/>
  <c r="F23" i="1" a="1"/>
  <c r="F23" i="1" s="1"/>
  <c r="E23" i="1" a="1"/>
  <c r="E23" i="1" s="1"/>
  <c r="D23" i="1" a="1"/>
  <c r="D23" i="1" s="1"/>
  <c r="C23" i="1" a="1"/>
  <c r="C23" i="1" s="1"/>
  <c r="O22" i="1" a="1"/>
  <c r="O22" i="1" s="1"/>
  <c r="N22" i="1" a="1"/>
  <c r="N22" i="1" s="1"/>
  <c r="M22" i="1" a="1"/>
  <c r="M22" i="1" s="1"/>
  <c r="L22" i="1" a="1"/>
  <c r="L22" i="1" s="1"/>
  <c r="K22" i="1" a="1"/>
  <c r="K22" i="1" s="1"/>
  <c r="J22" i="1" a="1"/>
  <c r="J22" i="1" s="1"/>
  <c r="I22" i="1" a="1"/>
  <c r="I22" i="1" s="1"/>
  <c r="H22" i="1" a="1"/>
  <c r="H22" i="1" s="1"/>
  <c r="G22" i="1" a="1"/>
  <c r="G22" i="1" s="1"/>
  <c r="F22" i="1" a="1"/>
  <c r="F22" i="1" s="1"/>
  <c r="E22" i="1" a="1"/>
  <c r="E22" i="1" s="1"/>
  <c r="D22" i="1" a="1"/>
  <c r="D22" i="1" s="1"/>
  <c r="C22" i="1" a="1"/>
  <c r="C22" i="1" s="1"/>
  <c r="O21" i="1" a="1"/>
  <c r="O21" i="1" s="1"/>
  <c r="N21" i="1" a="1"/>
  <c r="N21" i="1" s="1"/>
  <c r="M21" i="1" a="1"/>
  <c r="M21" i="1" s="1"/>
  <c r="L21" i="1" a="1"/>
  <c r="L21" i="1" s="1"/>
  <c r="K21" i="1" a="1"/>
  <c r="K21" i="1" s="1"/>
  <c r="J21" i="1" a="1"/>
  <c r="J21" i="1" s="1"/>
  <c r="I21" i="1" a="1"/>
  <c r="I21" i="1" s="1"/>
  <c r="H21" i="1" a="1"/>
  <c r="H21" i="1" s="1"/>
  <c r="G21" i="1" a="1"/>
  <c r="G21" i="1" s="1"/>
  <c r="F21" i="1" a="1"/>
  <c r="F21" i="1" s="1"/>
  <c r="E21" i="1" a="1"/>
  <c r="E21" i="1" s="1"/>
  <c r="D21" i="1" a="1"/>
  <c r="D21" i="1" s="1"/>
  <c r="C21" i="1" a="1"/>
  <c r="C21" i="1" s="1"/>
  <c r="O20" i="1" a="1"/>
  <c r="O20" i="1" s="1"/>
  <c r="N20" i="1" a="1"/>
  <c r="N20" i="1" s="1"/>
  <c r="M20" i="1" a="1"/>
  <c r="M20" i="1" s="1"/>
  <c r="L20" i="1" a="1"/>
  <c r="L20" i="1" s="1"/>
  <c r="K20" i="1" a="1"/>
  <c r="K20" i="1" s="1"/>
  <c r="J20" i="1" a="1"/>
  <c r="J20" i="1" s="1"/>
  <c r="I20" i="1" a="1"/>
  <c r="I20" i="1" s="1"/>
  <c r="H20" i="1" a="1"/>
  <c r="H20" i="1" s="1"/>
  <c r="G20" i="1" a="1"/>
  <c r="G20" i="1" s="1"/>
  <c r="F20" i="1" a="1"/>
  <c r="F20" i="1" s="1"/>
  <c r="E20" i="1" a="1"/>
  <c r="E20" i="1" s="1"/>
  <c r="D20" i="1" a="1"/>
  <c r="D20" i="1" s="1"/>
  <c r="C20" i="1" a="1"/>
  <c r="C20" i="1" s="1"/>
  <c r="O19" i="1" a="1"/>
  <c r="O19" i="1" s="1"/>
  <c r="N19" i="1" a="1"/>
  <c r="N19" i="1" s="1"/>
  <c r="M19" i="1" a="1"/>
  <c r="M19" i="1" s="1"/>
  <c r="L19" i="1" a="1"/>
  <c r="L19" i="1" s="1"/>
  <c r="K19" i="1" a="1"/>
  <c r="K19" i="1" s="1"/>
  <c r="J19" i="1" a="1"/>
  <c r="J19" i="1" s="1"/>
  <c r="I19" i="1" a="1"/>
  <c r="I19" i="1" s="1"/>
  <c r="H19" i="1" a="1"/>
  <c r="H19" i="1" s="1"/>
  <c r="G19" i="1" a="1"/>
  <c r="G19" i="1" s="1"/>
  <c r="F19" i="1" a="1"/>
  <c r="F19" i="1" s="1"/>
  <c r="E19" i="1" a="1"/>
  <c r="E19" i="1" s="1"/>
  <c r="D19" i="1" a="1"/>
  <c r="D19" i="1" s="1"/>
  <c r="C19" i="1" a="1"/>
  <c r="C19" i="1" s="1"/>
  <c r="O18" i="1" a="1"/>
  <c r="O18" i="1" s="1"/>
  <c r="N18" i="1" a="1"/>
  <c r="N18" i="1" s="1"/>
  <c r="M18" i="1" a="1"/>
  <c r="M18" i="1" s="1"/>
  <c r="L18" i="1" a="1"/>
  <c r="L18" i="1" s="1"/>
  <c r="K18" i="1" a="1"/>
  <c r="K18" i="1" s="1"/>
  <c r="J18" i="1" a="1"/>
  <c r="J18" i="1" s="1"/>
  <c r="I18" i="1" a="1"/>
  <c r="I18" i="1" s="1"/>
  <c r="H18" i="1" a="1"/>
  <c r="H18" i="1" s="1"/>
  <c r="G18" i="1" a="1"/>
  <c r="G18" i="1" s="1"/>
  <c r="F18" i="1" a="1"/>
  <c r="F18" i="1" s="1"/>
  <c r="E18" i="1" a="1"/>
  <c r="E18" i="1" s="1"/>
  <c r="D18" i="1" a="1"/>
  <c r="D18" i="1" s="1"/>
  <c r="C18" i="1" a="1"/>
  <c r="C18" i="1" s="1"/>
  <c r="O17" i="1" a="1"/>
  <c r="O17" i="1" s="1"/>
  <c r="N17" i="1" a="1"/>
  <c r="N17" i="1" s="1"/>
  <c r="M17" i="1" a="1"/>
  <c r="M17" i="1" s="1"/>
  <c r="L17" i="1" a="1"/>
  <c r="L17" i="1" s="1"/>
  <c r="K17" i="1" a="1"/>
  <c r="K17" i="1" s="1"/>
  <c r="J17" i="1" a="1"/>
  <c r="J17" i="1" s="1"/>
  <c r="I17" i="1" a="1"/>
  <c r="I17" i="1" s="1"/>
  <c r="H17" i="1" a="1"/>
  <c r="H17" i="1" s="1"/>
  <c r="G17" i="1" a="1"/>
  <c r="G17" i="1" s="1"/>
  <c r="F17" i="1" a="1"/>
  <c r="F17" i="1" s="1"/>
  <c r="E17" i="1" a="1"/>
  <c r="E17" i="1" s="1"/>
  <c r="D17" i="1" a="1"/>
  <c r="D17" i="1" s="1"/>
  <c r="C17" i="1" a="1"/>
  <c r="C17" i="1" s="1"/>
  <c r="O16" i="1" a="1"/>
  <c r="O16" i="1" s="1"/>
  <c r="N16" i="1" a="1"/>
  <c r="N16" i="1" s="1"/>
  <c r="M16" i="1" a="1"/>
  <c r="M16" i="1" s="1"/>
  <c r="L16" i="1" a="1"/>
  <c r="L16" i="1" s="1"/>
  <c r="K16" i="1" a="1"/>
  <c r="K16" i="1" s="1"/>
  <c r="J16" i="1" a="1"/>
  <c r="J16" i="1" s="1"/>
  <c r="I16" i="1" a="1"/>
  <c r="I16" i="1" s="1"/>
  <c r="H16" i="1" a="1"/>
  <c r="H16" i="1" s="1"/>
  <c r="G16" i="1" a="1"/>
  <c r="G16" i="1" s="1"/>
  <c r="F16" i="1" a="1"/>
  <c r="F16" i="1" s="1"/>
  <c r="E16" i="1" a="1"/>
  <c r="E16" i="1" s="1"/>
  <c r="D16" i="1" a="1"/>
  <c r="D16" i="1" s="1"/>
  <c r="C16" i="1" a="1"/>
  <c r="C16" i="1" s="1"/>
  <c r="O15" i="1" a="1"/>
  <c r="O15" i="1" s="1"/>
  <c r="N15" i="1" a="1"/>
  <c r="N15" i="1" s="1"/>
  <c r="M15" i="1" a="1"/>
  <c r="M15" i="1" s="1"/>
  <c r="L15" i="1" a="1"/>
  <c r="L15" i="1" s="1"/>
  <c r="K15" i="1" a="1"/>
  <c r="K15" i="1" s="1"/>
  <c r="J15" i="1" a="1"/>
  <c r="J15" i="1" s="1"/>
  <c r="I15" i="1" a="1"/>
  <c r="I15" i="1" s="1"/>
  <c r="H15" i="1" a="1"/>
  <c r="H15" i="1" s="1"/>
  <c r="G15" i="1" a="1"/>
  <c r="G15" i="1" s="1"/>
  <c r="F15" i="1" a="1"/>
  <c r="F15" i="1" s="1"/>
  <c r="E15" i="1" a="1"/>
  <c r="E15" i="1" s="1"/>
  <c r="D15" i="1" a="1"/>
  <c r="D15" i="1" s="1"/>
  <c r="C15" i="1" a="1"/>
  <c r="C15" i="1" s="1"/>
  <c r="O14" i="1" a="1"/>
  <c r="O14" i="1" s="1"/>
  <c r="N14" i="1" a="1"/>
  <c r="N14" i="1" s="1"/>
  <c r="M14" i="1" a="1"/>
  <c r="M14" i="1" s="1"/>
  <c r="L14" i="1" a="1"/>
  <c r="L14" i="1" s="1"/>
  <c r="K14" i="1" a="1"/>
  <c r="K14" i="1" s="1"/>
  <c r="J14" i="1" a="1"/>
  <c r="J14" i="1" s="1"/>
  <c r="I14" i="1" a="1"/>
  <c r="I14" i="1" s="1"/>
  <c r="H14" i="1" a="1"/>
  <c r="H14" i="1" s="1"/>
  <c r="G14" i="1" a="1"/>
  <c r="G14" i="1" s="1"/>
  <c r="F14" i="1" a="1"/>
  <c r="F14" i="1" s="1"/>
  <c r="E14" i="1" a="1"/>
  <c r="E14" i="1" s="1"/>
  <c r="D14" i="1" a="1"/>
  <c r="D14" i="1" s="1"/>
  <c r="C14" i="1" a="1"/>
  <c r="C14" i="1" s="1"/>
  <c r="O13" i="1" a="1"/>
  <c r="O13" i="1" s="1"/>
  <c r="N13" i="1" a="1"/>
  <c r="N13" i="1" s="1"/>
  <c r="M13" i="1" a="1"/>
  <c r="M13" i="1" s="1"/>
  <c r="L13" i="1" a="1"/>
  <c r="L13" i="1" s="1"/>
  <c r="K13" i="1" a="1"/>
  <c r="K13" i="1" s="1"/>
  <c r="J13" i="1" a="1"/>
  <c r="J13" i="1" s="1"/>
  <c r="I13" i="1" a="1"/>
  <c r="I13" i="1" s="1"/>
  <c r="H13" i="1" a="1"/>
  <c r="H13" i="1" s="1"/>
  <c r="G13" i="1" a="1"/>
  <c r="G13" i="1" s="1"/>
  <c r="F13" i="1" a="1"/>
  <c r="F13" i="1" s="1"/>
  <c r="E13" i="1" a="1"/>
  <c r="E13" i="1" s="1"/>
  <c r="D13" i="1" a="1"/>
  <c r="D13" i="1" s="1"/>
  <c r="C13" i="1" a="1"/>
  <c r="C13" i="1" s="1"/>
  <c r="O12" i="1" a="1"/>
  <c r="O12" i="1" s="1"/>
  <c r="N12" i="1" a="1"/>
  <c r="N12" i="1" s="1"/>
  <c r="M12" i="1" a="1"/>
  <c r="M12" i="1" s="1"/>
  <c r="L12" i="1" a="1"/>
  <c r="L12" i="1" s="1"/>
  <c r="K12" i="1" a="1"/>
  <c r="K12" i="1" s="1"/>
  <c r="J12" i="1" a="1"/>
  <c r="J12" i="1" s="1"/>
  <c r="I12" i="1" a="1"/>
  <c r="I12" i="1" s="1"/>
  <c r="H12" i="1" a="1"/>
  <c r="H12" i="1" s="1"/>
  <c r="G12" i="1" a="1"/>
  <c r="G12" i="1" s="1"/>
  <c r="F12" i="1" a="1"/>
  <c r="F12" i="1" s="1"/>
  <c r="E12" i="1" a="1"/>
  <c r="E12" i="1" s="1"/>
  <c r="D12" i="1" a="1"/>
  <c r="D12" i="1" s="1"/>
  <c r="C12" i="1" a="1"/>
  <c r="C12" i="1" s="1"/>
  <c r="O11" i="1" a="1"/>
  <c r="O11" i="1" s="1"/>
  <c r="N11" i="1" a="1"/>
  <c r="N11" i="1" s="1"/>
  <c r="M11" i="1" a="1"/>
  <c r="M11" i="1" s="1"/>
  <c r="L11" i="1" a="1"/>
  <c r="L11" i="1" s="1"/>
  <c r="K11" i="1" a="1"/>
  <c r="K11" i="1" s="1"/>
  <c r="J11" i="1" a="1"/>
  <c r="J11" i="1" s="1"/>
  <c r="I11" i="1" a="1"/>
  <c r="I11" i="1" s="1"/>
  <c r="H11" i="1" a="1"/>
  <c r="H11" i="1" s="1"/>
  <c r="G11" i="1" a="1"/>
  <c r="G11" i="1" s="1"/>
  <c r="F11" i="1" a="1"/>
  <c r="F11" i="1" s="1"/>
  <c r="E11" i="1" a="1"/>
  <c r="E11" i="1" s="1"/>
  <c r="D11" i="1" a="1"/>
  <c r="D11" i="1" s="1"/>
  <c r="C11" i="1" a="1"/>
  <c r="C11" i="1" s="1"/>
  <c r="O10" i="1" a="1"/>
  <c r="O10" i="1" s="1"/>
  <c r="N10" i="1" a="1"/>
  <c r="N10" i="1" s="1"/>
  <c r="M10" i="1" a="1"/>
  <c r="M10" i="1" s="1"/>
  <c r="L10" i="1" a="1"/>
  <c r="L10" i="1" s="1"/>
  <c r="K10" i="1" a="1"/>
  <c r="K10" i="1" s="1"/>
  <c r="J10" i="1" a="1"/>
  <c r="J10" i="1" s="1"/>
  <c r="I10" i="1" a="1"/>
  <c r="I10" i="1" s="1"/>
  <c r="H10" i="1" a="1"/>
  <c r="H10" i="1" s="1"/>
  <c r="G10" i="1" a="1"/>
  <c r="G10" i="1" s="1"/>
  <c r="F10" i="1" a="1"/>
  <c r="F10" i="1" s="1"/>
  <c r="E10" i="1" a="1"/>
  <c r="E10" i="1" s="1"/>
  <c r="D10" i="1" a="1"/>
  <c r="D10" i="1" s="1"/>
  <c r="C10" i="1" a="1"/>
  <c r="C10" i="1" s="1"/>
  <c r="O9" i="1" a="1"/>
  <c r="O9" i="1" s="1"/>
  <c r="N9" i="1" a="1"/>
  <c r="N9" i="1" s="1"/>
  <c r="M9" i="1" a="1"/>
  <c r="M9" i="1" s="1"/>
  <c r="L9" i="1" a="1"/>
  <c r="L9" i="1" s="1"/>
  <c r="K9" i="1" a="1"/>
  <c r="K9" i="1" s="1"/>
  <c r="J9" i="1" a="1"/>
  <c r="J9" i="1" s="1"/>
  <c r="I9" i="1" a="1"/>
  <c r="I9" i="1" s="1"/>
  <c r="H9" i="1" a="1"/>
  <c r="H9" i="1" s="1"/>
  <c r="G9" i="1" a="1"/>
  <c r="G9" i="1" s="1"/>
  <c r="F9" i="1" a="1"/>
  <c r="F9" i="1" s="1"/>
  <c r="E9" i="1" a="1"/>
  <c r="E9" i="1" s="1"/>
  <c r="D9" i="1" a="1"/>
  <c r="D9" i="1" s="1"/>
  <c r="C9" i="1" a="1"/>
  <c r="C9" i="1" s="1"/>
  <c r="O8" i="1" a="1"/>
  <c r="O8" i="1" s="1"/>
  <c r="N8" i="1" a="1"/>
  <c r="N8" i="1" s="1"/>
  <c r="M8" i="1" a="1"/>
  <c r="M8" i="1" s="1"/>
  <c r="L8" i="1" a="1"/>
  <c r="L8" i="1" s="1"/>
  <c r="K8" i="1" a="1"/>
  <c r="K8" i="1" s="1"/>
  <c r="J8" i="1" a="1"/>
  <c r="J8" i="1" s="1"/>
  <c r="I8" i="1" a="1"/>
  <c r="I8" i="1" s="1"/>
  <c r="H8" i="1" a="1"/>
  <c r="H8" i="1" s="1"/>
  <c r="G8" i="1" a="1"/>
  <c r="G8" i="1" s="1"/>
  <c r="F8" i="1" a="1"/>
  <c r="F8" i="1" s="1"/>
  <c r="E8" i="1" a="1"/>
  <c r="E8" i="1" s="1"/>
  <c r="D8" i="1" a="1"/>
  <c r="D8" i="1" s="1"/>
  <c r="C8" i="1" a="1"/>
  <c r="C8" i="1" s="1"/>
  <c r="O7" i="1" a="1"/>
  <c r="O7" i="1" s="1"/>
  <c r="N7" i="1" a="1"/>
  <c r="N7" i="1" s="1"/>
  <c r="M7" i="1" a="1"/>
  <c r="M7" i="1" s="1"/>
  <c r="L7" i="1" a="1"/>
  <c r="L7" i="1" s="1"/>
  <c r="K7" i="1" a="1"/>
  <c r="K7" i="1" s="1"/>
  <c r="J7" i="1" a="1"/>
  <c r="J7" i="1" s="1"/>
  <c r="I7" i="1" a="1"/>
  <c r="I7" i="1" s="1"/>
  <c r="H7" i="1" a="1"/>
  <c r="H7" i="1" s="1"/>
  <c r="G7" i="1" a="1"/>
  <c r="G7" i="1" s="1"/>
  <c r="F7" i="1" a="1"/>
  <c r="F7" i="1" s="1"/>
  <c r="E7" i="1" a="1"/>
  <c r="E7" i="1" s="1"/>
  <c r="D7" i="1" a="1"/>
  <c r="D7" i="1" s="1"/>
  <c r="C7" i="1" a="1"/>
  <c r="C7" i="1" s="1"/>
  <c r="O6" i="1" a="1"/>
  <c r="O6" i="1" s="1"/>
  <c r="N6" i="1" a="1"/>
  <c r="N6" i="1" s="1"/>
  <c r="M6" i="1" a="1"/>
  <c r="M6" i="1" s="1"/>
  <c r="L6" i="1" a="1"/>
  <c r="L6" i="1" s="1"/>
  <c r="K6" i="1" a="1"/>
  <c r="K6" i="1" s="1"/>
  <c r="J6" i="1" a="1"/>
  <c r="J6" i="1" s="1"/>
  <c r="I6" i="1" a="1"/>
  <c r="I6" i="1" s="1"/>
  <c r="H6" i="1" a="1"/>
  <c r="H6" i="1" s="1"/>
  <c r="G6" i="1" a="1"/>
  <c r="G6" i="1" s="1"/>
  <c r="F6" i="1" a="1"/>
  <c r="F6" i="1" s="1"/>
  <c r="E6" i="1" a="1"/>
  <c r="E6" i="1" s="1"/>
  <c r="D6" i="1" a="1"/>
  <c r="D6" i="1" s="1"/>
  <c r="C6" i="1" a="1"/>
  <c r="C6" i="1" s="1"/>
  <c r="O5" i="1" a="1"/>
  <c r="O5" i="1" s="1"/>
  <c r="N5" i="1" a="1"/>
  <c r="N5" i="1" s="1"/>
  <c r="M5" i="1" a="1"/>
  <c r="M5" i="1" s="1"/>
  <c r="L5" i="1" a="1"/>
  <c r="L5" i="1" s="1"/>
  <c r="K5" i="1" a="1"/>
  <c r="K5" i="1" s="1"/>
  <c r="J5" i="1" a="1"/>
  <c r="J5" i="1" s="1"/>
  <c r="I5" i="1" a="1"/>
  <c r="I5" i="1" s="1"/>
  <c r="H5" i="1" a="1"/>
  <c r="H5" i="1" s="1"/>
  <c r="G5" i="1" a="1"/>
  <c r="G5" i="1" s="1"/>
  <c r="F5" i="1" a="1"/>
  <c r="F5" i="1" s="1"/>
  <c r="E5" i="1" a="1"/>
  <c r="E5" i="1" s="1"/>
  <c r="D5" i="1" a="1"/>
  <c r="D5" i="1" s="1"/>
  <c r="C5" i="1" a="1"/>
  <c r="C5" i="1" s="1"/>
  <c r="O4" i="1" a="1"/>
  <c r="O4" i="1" s="1"/>
  <c r="N4" i="1" a="1"/>
  <c r="N4" i="1" s="1"/>
  <c r="M4" i="1" a="1"/>
  <c r="M4" i="1" s="1"/>
  <c r="L4" i="1" a="1"/>
  <c r="L4" i="1" s="1"/>
  <c r="K4" i="1" a="1"/>
  <c r="K4" i="1" s="1"/>
  <c r="J4" i="1" a="1"/>
  <c r="J4" i="1" s="1"/>
  <c r="I4" i="1" a="1"/>
  <c r="I4" i="1" s="1"/>
  <c r="H4" i="1" a="1"/>
  <c r="H4" i="1" s="1"/>
  <c r="G4" i="1" a="1"/>
  <c r="G4" i="1" s="1"/>
  <c r="F4" i="1" a="1"/>
  <c r="F4" i="1" s="1"/>
  <c r="E4" i="1" a="1"/>
  <c r="E4" i="1" s="1"/>
  <c r="D4" i="1" a="1"/>
  <c r="D4" i="1" s="1"/>
  <c r="C4" i="1" a="1"/>
  <c r="C4" i="1" s="1"/>
  <c r="O3" i="1" a="1"/>
  <c r="O3" i="1" s="1"/>
  <c r="N3" i="1" a="1"/>
  <c r="N3" i="1" s="1"/>
  <c r="M3" i="1" a="1"/>
  <c r="M3" i="1" s="1"/>
  <c r="L3" i="1" a="1"/>
  <c r="L3" i="1" s="1"/>
  <c r="K3" i="1" a="1"/>
  <c r="K3" i="1" s="1"/>
  <c r="J3" i="1" a="1"/>
  <c r="J3" i="1" s="1"/>
  <c r="I3" i="1" a="1"/>
  <c r="I3" i="1" s="1"/>
  <c r="H3" i="1" a="1"/>
  <c r="H3" i="1" s="1"/>
  <c r="G3" i="1" a="1"/>
  <c r="G3" i="1" s="1"/>
  <c r="F3" i="1" a="1"/>
  <c r="F3" i="1" s="1"/>
  <c r="E3" i="1" a="1"/>
  <c r="E3" i="1" s="1"/>
  <c r="D3" i="1" a="1"/>
  <c r="D3" i="1" s="1"/>
  <c r="C3" i="1" a="1"/>
  <c r="C3" i="1" s="1"/>
  <c r="O2" i="1" a="1"/>
  <c r="O2" i="1" s="1"/>
  <c r="N2" i="1" a="1"/>
  <c r="N2" i="1" s="1"/>
  <c r="M2" i="1" a="1"/>
  <c r="M2" i="1" s="1"/>
  <c r="L2" i="1" a="1"/>
  <c r="L2" i="1" s="1"/>
  <c r="K2" i="1" a="1"/>
  <c r="K2" i="1" s="1"/>
  <c r="J2" i="1" a="1"/>
  <c r="J2" i="1" s="1"/>
  <c r="I2" i="1" a="1"/>
  <c r="I2" i="1" s="1"/>
  <c r="H2" i="1" a="1"/>
  <c r="H2" i="1" s="1"/>
  <c r="F2" i="1" a="1"/>
  <c r="F2" i="1" s="1"/>
  <c r="E2" i="1" a="1"/>
  <c r="E2" i="1" s="1"/>
  <c r="C2" i="1" a="1"/>
  <c r="C2" i="1" s="1"/>
  <c r="G2" i="1" a="1"/>
  <c r="G2" i="1" s="1"/>
  <c r="D2" i="1" a="1"/>
  <c r="D2" i="1" s="1"/>
  <c r="P2" i="1" l="1"/>
  <c r="P26" i="1"/>
  <c r="P7" i="1"/>
  <c r="P22" i="1"/>
  <c r="P25" i="1"/>
  <c r="P24" i="1"/>
  <c r="P23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6" i="1"/>
  <c r="P5" i="1"/>
  <c r="P4" i="1"/>
  <c r="P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<sst xmlns="http://schemas.openxmlformats.org/spreadsheetml/2006/main" count="442" uniqueCount="52">
  <si>
    <t>STOK ISMI</t>
  </si>
  <si>
    <t>DALDIRMA</t>
  </si>
  <si>
    <t>MOR</t>
  </si>
  <si>
    <t>SARI</t>
  </si>
  <si>
    <t>TURUNCU</t>
  </si>
  <si>
    <t>KIRMIZI</t>
  </si>
  <si>
    <t>TURKUAZ</t>
  </si>
  <si>
    <t>TOPLAM</t>
  </si>
  <si>
    <t>RENK</t>
  </si>
  <si>
    <t xml:space="preserve">H:200CM DUZ KAYDIRAK </t>
  </si>
  <si>
    <t xml:space="preserve">H:150CM DUZ KAYDIRAK </t>
  </si>
  <si>
    <t xml:space="preserve">H:100CM TEKLI DUZ KAYDIRAK </t>
  </si>
  <si>
    <t xml:space="preserve">H:150CM SPIRAL KAYDIRAK </t>
  </si>
  <si>
    <t xml:space="preserve">H:200CM SPIRAL KAYDIRAK </t>
  </si>
  <si>
    <t xml:space="preserve">H:150CM IKILI DUZ KAYDIRAK </t>
  </si>
  <si>
    <t xml:space="preserve">H:100CM IKILI DUZ KAYDIRAK </t>
  </si>
  <si>
    <t>ALTIGEN CATI</t>
  </si>
  <si>
    <t>EV CATI</t>
  </si>
  <si>
    <t xml:space="preserve">107 CM TUP </t>
  </si>
  <si>
    <t>35 DERECE TUP GIRIS</t>
  </si>
  <si>
    <t xml:space="preserve">40CM TUP </t>
  </si>
  <si>
    <t>TUP CIKIS</t>
  </si>
  <si>
    <t>TIKTAK PANO</t>
  </si>
  <si>
    <t xml:space="preserve">H100 CM 5 BASAMAKLI PVC MERDIVEN </t>
  </si>
  <si>
    <t>H50CM 4 BASAMAKLI PVC MERDIVEN</t>
  </si>
  <si>
    <t>H150CM 7 BASAMAKLI PVC MERDIVEN</t>
  </si>
  <si>
    <t>KARE PVC PLATFORM</t>
  </si>
  <si>
    <t xml:space="preserve">UCGEN PVC DALDIRMA </t>
  </si>
  <si>
    <t>60*90 PVC DALDIRMA</t>
  </si>
  <si>
    <t>SALINCAK SEPETI (BLD. VE KURUM)</t>
  </si>
  <si>
    <t>ROTA</t>
  </si>
  <si>
    <t>H:100CM SAGA EGIMLI KAYDIRAK</t>
  </si>
  <si>
    <t>ACIK SARI</t>
  </si>
  <si>
    <t>ACIK MOR</t>
  </si>
  <si>
    <t>KOCAKPARK</t>
  </si>
  <si>
    <t>FIRMA</t>
  </si>
  <si>
    <t>GRI</t>
  </si>
  <si>
    <t>SIYAH</t>
  </si>
  <si>
    <t>MAVI</t>
  </si>
  <si>
    <t>BIRIM</t>
  </si>
  <si>
    <t>MERIDA</t>
  </si>
  <si>
    <t>KENDI KALIBIMIZ</t>
  </si>
  <si>
    <t xml:space="preserve">H:100CM DUZ DALGALI KAYDIRAK </t>
  </si>
  <si>
    <t xml:space="preserve">H:150CM DUZ DALGALI KAYDIRAK </t>
  </si>
  <si>
    <t>CIKIS</t>
  </si>
  <si>
    <t>GIRIS</t>
  </si>
  <si>
    <t>YESIL</t>
  </si>
  <si>
    <t>KAHVERENGI</t>
  </si>
  <si>
    <t>MIKTAR</t>
  </si>
  <si>
    <t>ISLEM</t>
  </si>
  <si>
    <t>TARIH</t>
  </si>
  <si>
    <t>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</si>
</sst>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9"/>
      <color theme="1"/>
      <name val="Segoe UI"/>
      <family val="2"/>
      <charset val="162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22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0" xfId="0" applyNumberFormat="1"/>
    <xf numFmtId="0" fontId="1" fillId="0" borderId="0" xfId="0" applyFont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2" xfId="0" applyFont="1" applyBorder="1"/>
    <xf numFmtId="0" fontId="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" fontId="0" fillId="12" borderId="1" xfId="0" applyNumberForma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FF9225"/>
      <color rgb="FFFF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E6F4-636C-4EE4-AD3E-098A6B3321C0}">
  <sheetPr>
    <tabColor rgb="FF00B050"/>
  </sheetPr>
  <dimension ref="A1:F76"/>
  <sheetViews>
    <sheetView workbookViewId="0">
      <pane ySplit="1" topLeftCell="A8" activePane="bottomLeft" state="frozen"/>
      <selection pane="bottomLeft" activeCell="F21" sqref="F21"/>
    </sheetView>
  </sheetViews>
  <sheetFormatPr defaultRowHeight="15" x14ac:dyDescent="0.25"/>
  <cols>
    <col min="1" max="1" width="10.140625" bestFit="1" customWidth="1"/>
    <col min="3" max="3" width="13.28515625" customWidth="1"/>
    <col min="4" max="4" width="32.140625" bestFit="1" customWidth="1"/>
    <col min="5" max="5" width="12.7109375" customWidth="1"/>
    <col min="6" max="6" width="9.140625" style="6"/>
  </cols>
  <sheetData>
    <row r="1" spans="1:6" x14ac:dyDescent="0.25">
      <c r="A1" s="8" t="s">
        <v>50</v>
      </c>
      <c r="B1" s="8" t="s">
        <v>49</v>
      </c>
      <c r="C1" s="8" t="s">
        <v>35</v>
      </c>
      <c r="D1" s="8" t="s">
        <v>0</v>
      </c>
      <c r="E1" s="8" t="s">
        <v>8</v>
      </c>
      <c r="F1" s="9" t="s">
        <v>48</v>
      </c>
    </row>
    <row r="2" spans="1:6" x14ac:dyDescent="0.25">
      <c r="A2" s="4">
        <v>46043</v>
      </c>
      <c r="B2" t="s">
        <v>45</v>
      </c>
      <c r="C2" t="s">
        <v>34</v>
      </c>
      <c r="D2" s="5" t="s">
        <v>31</v>
      </c>
      <c r="E2" t="s">
        <v>46</v>
      </c>
      <c r="F2" s="7">
        <v>8</v>
      </c>
    </row>
    <row r="3" spans="1:6" x14ac:dyDescent="0.25">
      <c r="A3" s="4">
        <v>46043</v>
      </c>
      <c r="B3" t="s">
        <v>45</v>
      </c>
      <c r="C3" t="s">
        <v>34</v>
      </c>
      <c r="D3" s="5" t="s">
        <v>31</v>
      </c>
      <c r="E3" t="s">
        <v>3</v>
      </c>
      <c r="F3" s="7">
        <v>4</v>
      </c>
    </row>
    <row r="4" spans="1:6" x14ac:dyDescent="0.25">
      <c r="A4" s="4">
        <v>46043</v>
      </c>
      <c r="B4" t="s">
        <v>45</v>
      </c>
      <c r="C4" t="s">
        <v>34</v>
      </c>
      <c r="D4" s="5" t="s">
        <v>31</v>
      </c>
      <c r="E4" t="s">
        <v>4</v>
      </c>
      <c r="F4" s="6">
        <v>4</v>
      </c>
    </row>
    <row r="5" spans="1:6" x14ac:dyDescent="0.25">
      <c r="A5" s="4">
        <v>46043</v>
      </c>
      <c r="B5" t="s">
        <v>45</v>
      </c>
      <c r="C5" t="s">
        <v>34</v>
      </c>
      <c r="D5" s="5" t="s">
        <v>9</v>
      </c>
      <c r="E5" t="s">
        <v>46</v>
      </c>
      <c r="F5" s="6">
        <v>3</v>
      </c>
    </row>
    <row r="6" spans="1:6" x14ac:dyDescent="0.25">
      <c r="A6" s="4">
        <v>46043</v>
      </c>
      <c r="B6" t="s">
        <v>45</v>
      </c>
      <c r="C6" t="s">
        <v>34</v>
      </c>
      <c r="D6" s="5" t="s">
        <v>9</v>
      </c>
      <c r="E6" t="s">
        <v>2</v>
      </c>
      <c r="F6" s="6">
        <v>3</v>
      </c>
    </row>
    <row r="7" spans="1:6" x14ac:dyDescent="0.25">
      <c r="A7" s="4">
        <v>46043</v>
      </c>
      <c r="B7" t="s">
        <v>45</v>
      </c>
      <c r="C7" t="s">
        <v>34</v>
      </c>
      <c r="D7" s="5" t="s">
        <v>9</v>
      </c>
      <c r="E7" t="s">
        <v>3</v>
      </c>
      <c r="F7" s="6">
        <v>3</v>
      </c>
    </row>
    <row r="8" spans="1:6" x14ac:dyDescent="0.25">
      <c r="A8" s="4">
        <v>46043</v>
      </c>
      <c r="B8" t="s">
        <v>45</v>
      </c>
      <c r="C8" t="s">
        <v>34</v>
      </c>
      <c r="D8" s="5" t="s">
        <v>9</v>
      </c>
      <c r="E8" t="s">
        <v>4</v>
      </c>
      <c r="F8" s="6">
        <v>2</v>
      </c>
    </row>
    <row r="9" spans="1:6" x14ac:dyDescent="0.25">
      <c r="A9" s="4">
        <v>46043</v>
      </c>
      <c r="B9" t="s">
        <v>45</v>
      </c>
      <c r="C9" t="s">
        <v>34</v>
      </c>
      <c r="D9" s="5" t="s">
        <v>9</v>
      </c>
      <c r="E9" t="s">
        <v>47</v>
      </c>
      <c r="F9" s="6">
        <v>2</v>
      </c>
    </row>
    <row r="10" spans="1:6" x14ac:dyDescent="0.25">
      <c r="A10" s="4">
        <v>46043</v>
      </c>
      <c r="B10" t="s">
        <v>45</v>
      </c>
      <c r="C10" t="s">
        <v>40</v>
      </c>
      <c r="D10" s="5" t="s">
        <v>10</v>
      </c>
      <c r="E10" t="s">
        <v>46</v>
      </c>
      <c r="F10" s="6">
        <v>10</v>
      </c>
    </row>
    <row r="11" spans="1:6" x14ac:dyDescent="0.25">
      <c r="A11" s="4">
        <v>46043</v>
      </c>
      <c r="B11" t="s">
        <v>45</v>
      </c>
      <c r="C11" t="s">
        <v>40</v>
      </c>
      <c r="D11" s="5" t="s">
        <v>10</v>
      </c>
      <c r="E11" t="s">
        <v>2</v>
      </c>
      <c r="F11" s="6">
        <v>1</v>
      </c>
    </row>
    <row r="12" spans="1:6" x14ac:dyDescent="0.25">
      <c r="A12" s="4">
        <v>46043</v>
      </c>
      <c r="B12" t="s">
        <v>45</v>
      </c>
      <c r="C12" t="s">
        <v>40</v>
      </c>
      <c r="D12" s="5" t="s">
        <v>10</v>
      </c>
      <c r="E12" t="s">
        <v>3</v>
      </c>
      <c r="F12" s="6">
        <v>4</v>
      </c>
    </row>
    <row r="13" spans="1:6" x14ac:dyDescent="0.25">
      <c r="A13" s="4">
        <v>46043</v>
      </c>
      <c r="B13" t="s">
        <v>45</v>
      </c>
      <c r="C13" t="s">
        <v>40</v>
      </c>
      <c r="D13" s="5" t="s">
        <v>10</v>
      </c>
      <c r="E13" t="s">
        <v>4</v>
      </c>
      <c r="F13" s="6">
        <v>7</v>
      </c>
    </row>
    <row r="14" spans="1:6" x14ac:dyDescent="0.25">
      <c r="A14" s="4">
        <v>46043</v>
      </c>
      <c r="B14" t="s">
        <v>45</v>
      </c>
      <c r="C14" t="s">
        <v>40</v>
      </c>
      <c r="D14" s="5" t="s">
        <v>11</v>
      </c>
      <c r="E14" t="s">
        <v>46</v>
      </c>
      <c r="F14" s="6">
        <v>3</v>
      </c>
    </row>
    <row r="15" spans="1:6" x14ac:dyDescent="0.25">
      <c r="A15" s="4">
        <v>46043</v>
      </c>
      <c r="B15" t="s">
        <v>45</v>
      </c>
      <c r="C15" t="s">
        <v>40</v>
      </c>
      <c r="D15" s="5" t="s">
        <v>11</v>
      </c>
      <c r="E15" t="s">
        <v>3</v>
      </c>
      <c r="F15" s="6">
        <v>8</v>
      </c>
    </row>
    <row r="16" spans="1:6" x14ac:dyDescent="0.25">
      <c r="A16" s="4">
        <v>46043</v>
      </c>
      <c r="B16" t="s">
        <v>45</v>
      </c>
      <c r="C16" t="s">
        <v>41</v>
      </c>
      <c r="D16" s="5" t="s">
        <v>12</v>
      </c>
      <c r="E16" t="s">
        <v>46</v>
      </c>
      <c r="F16" s="6">
        <v>6</v>
      </c>
    </row>
    <row r="17" spans="1:6" x14ac:dyDescent="0.25">
      <c r="A17" s="4">
        <v>46043</v>
      </c>
      <c r="B17" t="s">
        <v>45</v>
      </c>
      <c r="C17" t="s">
        <v>41</v>
      </c>
      <c r="D17" s="5" t="s">
        <v>12</v>
      </c>
      <c r="E17" t="s">
        <v>2</v>
      </c>
      <c r="F17" s="6">
        <v>7</v>
      </c>
    </row>
    <row r="18" spans="1:6" x14ac:dyDescent="0.25">
      <c r="A18" s="4">
        <v>46043</v>
      </c>
      <c r="B18" t="s">
        <v>45</v>
      </c>
      <c r="C18" t="s">
        <v>41</v>
      </c>
      <c r="D18" s="5" t="s">
        <v>12</v>
      </c>
      <c r="E18" t="s">
        <v>32</v>
      </c>
      <c r="F18" s="6">
        <v>2</v>
      </c>
    </row>
    <row r="19" spans="1:6" x14ac:dyDescent="0.25">
      <c r="A19" s="4">
        <v>46043</v>
      </c>
      <c r="B19" t="s">
        <v>45</v>
      </c>
      <c r="C19" t="s">
        <v>41</v>
      </c>
      <c r="D19" s="5" t="s">
        <v>12</v>
      </c>
      <c r="E19" t="s">
        <v>4</v>
      </c>
      <c r="F19" s="6">
        <v>2</v>
      </c>
    </row>
    <row r="20" spans="1:6" x14ac:dyDescent="0.25">
      <c r="A20" s="4">
        <v>46043</v>
      </c>
      <c r="B20" t="s">
        <v>45</v>
      </c>
      <c r="C20" t="s">
        <v>41</v>
      </c>
      <c r="D20" s="5" t="s">
        <v>12</v>
      </c>
      <c r="E20" t="s">
        <v>33</v>
      </c>
      <c r="F20" s="6">
        <v>2</v>
      </c>
    </row>
    <row r="21" spans="1:6" x14ac:dyDescent="0.25">
      <c r="A21" s="4">
        <v>46043</v>
      </c>
      <c r="B21" t="s">
        <v>45</v>
      </c>
      <c r="C21" t="s">
        <v>41</v>
      </c>
      <c r="D21" s="5" t="s">
        <v>12</v>
      </c>
      <c r="E21" t="s">
        <v>3</v>
      </c>
      <c r="F21" s="6">
        <v>4</v>
      </c>
    </row>
    <row r="22" spans="1:6" x14ac:dyDescent="0.25">
      <c r="A22" s="4">
        <v>46043</v>
      </c>
      <c r="B22" t="s">
        <v>45</v>
      </c>
      <c r="C22" t="s">
        <v>40</v>
      </c>
      <c r="D22" s="5" t="s">
        <v>42</v>
      </c>
      <c r="E22" t="s">
        <v>46</v>
      </c>
      <c r="F22" s="6">
        <v>1</v>
      </c>
    </row>
    <row r="23" spans="1:6" x14ac:dyDescent="0.25">
      <c r="A23" s="4">
        <v>46043</v>
      </c>
      <c r="B23" t="s">
        <v>45</v>
      </c>
      <c r="C23" t="s">
        <v>40</v>
      </c>
      <c r="D23" s="5" t="s">
        <v>42</v>
      </c>
      <c r="E23" t="s">
        <v>2</v>
      </c>
      <c r="F23" s="6">
        <v>4</v>
      </c>
    </row>
    <row r="24" spans="1:6" x14ac:dyDescent="0.25">
      <c r="A24" s="4">
        <v>46043</v>
      </c>
      <c r="B24" t="s">
        <v>45</v>
      </c>
      <c r="C24" t="s">
        <v>40</v>
      </c>
      <c r="D24" s="5" t="s">
        <v>42</v>
      </c>
      <c r="E24" t="s">
        <v>3</v>
      </c>
      <c r="F24" s="6">
        <v>2</v>
      </c>
    </row>
    <row r="25" spans="1:6" x14ac:dyDescent="0.25">
      <c r="A25" s="4">
        <v>46043</v>
      </c>
      <c r="B25" t="s">
        <v>45</v>
      </c>
      <c r="C25" t="s">
        <v>40</v>
      </c>
      <c r="D25" s="5" t="s">
        <v>42</v>
      </c>
      <c r="E25" t="s">
        <v>4</v>
      </c>
      <c r="F25" s="6">
        <v>2</v>
      </c>
    </row>
    <row r="26" spans="1:6" x14ac:dyDescent="0.25">
      <c r="A26" s="4">
        <v>46043</v>
      </c>
      <c r="B26" t="s">
        <v>45</v>
      </c>
      <c r="C26" t="s">
        <v>40</v>
      </c>
      <c r="D26" s="5" t="s">
        <v>43</v>
      </c>
      <c r="E26" t="s">
        <v>46</v>
      </c>
      <c r="F26" s="6">
        <v>7</v>
      </c>
    </row>
    <row r="27" spans="1:6" x14ac:dyDescent="0.25">
      <c r="A27" s="4">
        <v>46043</v>
      </c>
      <c r="B27" t="s">
        <v>45</v>
      </c>
      <c r="C27" t="s">
        <v>40</v>
      </c>
      <c r="D27" s="5" t="s">
        <v>43</v>
      </c>
      <c r="E27" t="s">
        <v>2</v>
      </c>
      <c r="F27" s="6">
        <v>1</v>
      </c>
    </row>
    <row r="28" spans="1:6" x14ac:dyDescent="0.25">
      <c r="A28" s="4">
        <v>46043</v>
      </c>
      <c r="B28" t="s">
        <v>45</v>
      </c>
      <c r="C28" t="s">
        <v>40</v>
      </c>
      <c r="D28" s="5" t="s">
        <v>43</v>
      </c>
      <c r="E28" t="s">
        <v>3</v>
      </c>
      <c r="F28" s="6">
        <v>3</v>
      </c>
    </row>
    <row r="29" spans="1:6" x14ac:dyDescent="0.25">
      <c r="A29" s="4">
        <v>46043</v>
      </c>
      <c r="B29" t="s">
        <v>45</v>
      </c>
      <c r="C29" t="s">
        <v>40</v>
      </c>
      <c r="D29" s="5" t="s">
        <v>43</v>
      </c>
      <c r="E29" t="s">
        <v>4</v>
      </c>
      <c r="F29" s="6">
        <v>1</v>
      </c>
    </row>
    <row r="30" spans="1:6" x14ac:dyDescent="0.25">
      <c r="A30" s="4">
        <v>46043</v>
      </c>
      <c r="B30" t="s">
        <v>45</v>
      </c>
      <c r="C30" t="s">
        <v>30</v>
      </c>
      <c r="D30" s="5" t="s">
        <v>13</v>
      </c>
      <c r="E30" t="s">
        <v>2</v>
      </c>
      <c r="F30" s="6">
        <v>1</v>
      </c>
    </row>
    <row r="31" spans="1:6" x14ac:dyDescent="0.25">
      <c r="A31" s="4">
        <v>46043</v>
      </c>
      <c r="B31" t="s">
        <v>45</v>
      </c>
      <c r="C31" t="s">
        <v>30</v>
      </c>
      <c r="D31" s="5" t="s">
        <v>13</v>
      </c>
      <c r="E31" t="s">
        <v>3</v>
      </c>
      <c r="F31" s="6">
        <v>4</v>
      </c>
    </row>
    <row r="32" spans="1:6" x14ac:dyDescent="0.25">
      <c r="A32" s="4">
        <v>46043</v>
      </c>
      <c r="B32" t="s">
        <v>45</v>
      </c>
      <c r="C32" t="s">
        <v>34</v>
      </c>
      <c r="D32" s="5" t="s">
        <v>13</v>
      </c>
      <c r="E32" t="s">
        <v>46</v>
      </c>
      <c r="F32" s="6">
        <v>4</v>
      </c>
    </row>
    <row r="33" spans="1:6" x14ac:dyDescent="0.25">
      <c r="A33" s="4">
        <v>46043</v>
      </c>
      <c r="B33" t="s">
        <v>45</v>
      </c>
      <c r="C33" t="s">
        <v>34</v>
      </c>
      <c r="D33" s="5" t="s">
        <v>13</v>
      </c>
      <c r="E33" t="s">
        <v>3</v>
      </c>
      <c r="F33" s="6">
        <v>3</v>
      </c>
    </row>
    <row r="34" spans="1:6" x14ac:dyDescent="0.25">
      <c r="A34" s="4">
        <v>46043</v>
      </c>
      <c r="B34" t="s">
        <v>45</v>
      </c>
      <c r="C34" t="s">
        <v>34</v>
      </c>
      <c r="D34" s="5" t="s">
        <v>13</v>
      </c>
      <c r="E34" t="s">
        <v>4</v>
      </c>
      <c r="F34" s="6">
        <v>3</v>
      </c>
    </row>
    <row r="35" spans="1:6" x14ac:dyDescent="0.25">
      <c r="A35" s="4">
        <v>46043</v>
      </c>
      <c r="B35" t="s">
        <v>45</v>
      </c>
      <c r="C35" t="s">
        <v>40</v>
      </c>
      <c r="D35" s="5" t="s">
        <v>14</v>
      </c>
      <c r="E35" t="s">
        <v>46</v>
      </c>
      <c r="F35" s="6">
        <v>3</v>
      </c>
    </row>
    <row r="36" spans="1:6" x14ac:dyDescent="0.25">
      <c r="A36" s="4">
        <v>46043</v>
      </c>
      <c r="B36" t="s">
        <v>45</v>
      </c>
      <c r="C36" t="s">
        <v>40</v>
      </c>
      <c r="D36" s="5" t="s">
        <v>14</v>
      </c>
      <c r="E36" t="s">
        <v>2</v>
      </c>
      <c r="F36" s="6">
        <v>3</v>
      </c>
    </row>
    <row r="37" spans="1:6" x14ac:dyDescent="0.25">
      <c r="A37" s="4">
        <v>46043</v>
      </c>
      <c r="B37" t="s">
        <v>45</v>
      </c>
      <c r="C37" t="s">
        <v>40</v>
      </c>
      <c r="D37" s="5" t="s">
        <v>14</v>
      </c>
      <c r="E37" t="s">
        <v>3</v>
      </c>
      <c r="F37" s="6">
        <v>5</v>
      </c>
    </row>
    <row r="38" spans="1:6" x14ac:dyDescent="0.25">
      <c r="A38" s="4">
        <v>46043</v>
      </c>
      <c r="B38" t="s">
        <v>45</v>
      </c>
      <c r="C38" t="s">
        <v>40</v>
      </c>
      <c r="D38" s="5" t="s">
        <v>14</v>
      </c>
      <c r="E38" t="s">
        <v>4</v>
      </c>
      <c r="F38" s="6">
        <v>1</v>
      </c>
    </row>
    <row r="39" spans="1:6" x14ac:dyDescent="0.25">
      <c r="A39" s="4">
        <v>46043</v>
      </c>
      <c r="B39" t="s">
        <v>45</v>
      </c>
      <c r="C39" t="s">
        <v>34</v>
      </c>
      <c r="D39" s="5" t="s">
        <v>15</v>
      </c>
      <c r="E39" t="s">
        <v>46</v>
      </c>
      <c r="F39" s="6">
        <v>1</v>
      </c>
    </row>
    <row r="40" spans="1:6" x14ac:dyDescent="0.25">
      <c r="A40" s="4">
        <v>46043</v>
      </c>
      <c r="B40" t="s">
        <v>45</v>
      </c>
      <c r="C40" t="s">
        <v>34</v>
      </c>
      <c r="D40" s="5" t="s">
        <v>15</v>
      </c>
      <c r="E40" t="s">
        <v>3</v>
      </c>
      <c r="F40" s="6">
        <v>8</v>
      </c>
    </row>
    <row r="41" spans="1:6" x14ac:dyDescent="0.25">
      <c r="A41" s="4">
        <v>46043</v>
      </c>
      <c r="B41" t="s">
        <v>45</v>
      </c>
      <c r="C41" t="s">
        <v>34</v>
      </c>
      <c r="D41" s="5" t="s">
        <v>15</v>
      </c>
      <c r="E41" t="s">
        <v>38</v>
      </c>
      <c r="F41" s="6">
        <v>2</v>
      </c>
    </row>
    <row r="42" spans="1:6" x14ac:dyDescent="0.25">
      <c r="A42" s="4">
        <v>46043</v>
      </c>
      <c r="B42" t="s">
        <v>45</v>
      </c>
      <c r="C42" t="s">
        <v>30</v>
      </c>
      <c r="D42" s="5" t="s">
        <v>16</v>
      </c>
      <c r="E42" t="s">
        <v>46</v>
      </c>
      <c r="F42" s="6">
        <v>8</v>
      </c>
    </row>
    <row r="43" spans="1:6" x14ac:dyDescent="0.25">
      <c r="A43" s="4">
        <v>46043</v>
      </c>
      <c r="B43" t="s">
        <v>45</v>
      </c>
      <c r="C43" t="s">
        <v>30</v>
      </c>
      <c r="D43" s="5" t="s">
        <v>16</v>
      </c>
      <c r="E43" t="s">
        <v>2</v>
      </c>
      <c r="F43" s="6">
        <v>4</v>
      </c>
    </row>
    <row r="44" spans="1:6" x14ac:dyDescent="0.25">
      <c r="A44" s="4">
        <v>46043</v>
      </c>
      <c r="B44" t="s">
        <v>45</v>
      </c>
      <c r="C44" t="s">
        <v>30</v>
      </c>
      <c r="D44" s="5" t="s">
        <v>16</v>
      </c>
      <c r="E44" t="s">
        <v>3</v>
      </c>
      <c r="F44" s="6">
        <v>2</v>
      </c>
    </row>
    <row r="45" spans="1:6" x14ac:dyDescent="0.25">
      <c r="A45" s="4">
        <v>46043</v>
      </c>
      <c r="B45" t="s">
        <v>45</v>
      </c>
      <c r="C45" t="s">
        <v>30</v>
      </c>
      <c r="D45" s="5" t="s">
        <v>16</v>
      </c>
      <c r="E45" t="s">
        <v>4</v>
      </c>
      <c r="F45" s="6">
        <v>2</v>
      </c>
    </row>
    <row r="46" spans="1:6" x14ac:dyDescent="0.25">
      <c r="A46" s="4">
        <v>46043</v>
      </c>
      <c r="B46" t="s">
        <v>45</v>
      </c>
      <c r="C46" t="s">
        <v>34</v>
      </c>
      <c r="D46" s="5" t="s">
        <v>17</v>
      </c>
      <c r="E46" t="s">
        <v>46</v>
      </c>
      <c r="F46" s="6">
        <v>10</v>
      </c>
    </row>
    <row r="47" spans="1:6" x14ac:dyDescent="0.25">
      <c r="A47" s="4">
        <v>46043</v>
      </c>
      <c r="B47" t="s">
        <v>45</v>
      </c>
      <c r="C47" t="s">
        <v>34</v>
      </c>
      <c r="D47" s="5" t="s">
        <v>17</v>
      </c>
      <c r="E47" t="s">
        <v>3</v>
      </c>
      <c r="F47" s="6">
        <v>13</v>
      </c>
    </row>
    <row r="48" spans="1:6" x14ac:dyDescent="0.25">
      <c r="A48" s="4">
        <v>46043</v>
      </c>
      <c r="B48" t="s">
        <v>45</v>
      </c>
      <c r="C48" t="s">
        <v>34</v>
      </c>
      <c r="D48" s="5" t="s">
        <v>18</v>
      </c>
      <c r="E48" t="s">
        <v>38</v>
      </c>
      <c r="F48" s="6">
        <v>3</v>
      </c>
    </row>
    <row r="49" spans="1:6" x14ac:dyDescent="0.25">
      <c r="A49" s="4">
        <v>46043</v>
      </c>
      <c r="B49" t="s">
        <v>45</v>
      </c>
      <c r="C49" t="s">
        <v>34</v>
      </c>
      <c r="D49" s="5" t="s">
        <v>18</v>
      </c>
      <c r="E49" t="s">
        <v>46</v>
      </c>
      <c r="F49" s="6">
        <v>14</v>
      </c>
    </row>
    <row r="50" spans="1:6" x14ac:dyDescent="0.25">
      <c r="A50" s="4">
        <v>46043</v>
      </c>
      <c r="B50" t="s">
        <v>45</v>
      </c>
      <c r="C50" t="s">
        <v>34</v>
      </c>
      <c r="D50" s="5" t="s">
        <v>18</v>
      </c>
      <c r="E50" t="s">
        <v>2</v>
      </c>
      <c r="F50" s="6">
        <v>8</v>
      </c>
    </row>
    <row r="51" spans="1:6" x14ac:dyDescent="0.25">
      <c r="A51" s="4">
        <v>46043</v>
      </c>
      <c r="B51" t="s">
        <v>45</v>
      </c>
      <c r="C51" t="s">
        <v>34</v>
      </c>
      <c r="D51" s="5" t="s">
        <v>18</v>
      </c>
      <c r="E51" t="s">
        <v>3</v>
      </c>
      <c r="F51" s="6">
        <v>10</v>
      </c>
    </row>
    <row r="52" spans="1:6" x14ac:dyDescent="0.25">
      <c r="A52" s="4">
        <v>46043</v>
      </c>
      <c r="B52" t="s">
        <v>45</v>
      </c>
      <c r="C52" t="s">
        <v>34</v>
      </c>
      <c r="D52" s="5" t="s">
        <v>18</v>
      </c>
      <c r="E52" t="s">
        <v>4</v>
      </c>
      <c r="F52" s="6">
        <v>7</v>
      </c>
    </row>
    <row r="53" spans="1:6" x14ac:dyDescent="0.25">
      <c r="A53" s="4">
        <v>46043</v>
      </c>
      <c r="B53" t="s">
        <v>45</v>
      </c>
      <c r="C53" t="s">
        <v>34</v>
      </c>
      <c r="D53" s="5" t="s">
        <v>18</v>
      </c>
      <c r="E53" t="s">
        <v>47</v>
      </c>
      <c r="F53" s="6">
        <v>1</v>
      </c>
    </row>
    <row r="54" spans="1:6" x14ac:dyDescent="0.25">
      <c r="A54" s="4">
        <v>46043</v>
      </c>
      <c r="B54" t="s">
        <v>45</v>
      </c>
      <c r="C54" t="s">
        <v>34</v>
      </c>
      <c r="D54" s="5" t="s">
        <v>19</v>
      </c>
      <c r="E54" t="s">
        <v>46</v>
      </c>
      <c r="F54" s="6">
        <v>6</v>
      </c>
    </row>
    <row r="55" spans="1:6" x14ac:dyDescent="0.25">
      <c r="A55" s="4">
        <v>46043</v>
      </c>
      <c r="B55" t="s">
        <v>45</v>
      </c>
      <c r="C55" t="s">
        <v>34</v>
      </c>
      <c r="D55" s="5" t="s">
        <v>19</v>
      </c>
      <c r="E55" t="s">
        <v>2</v>
      </c>
      <c r="F55" s="6">
        <v>1</v>
      </c>
    </row>
    <row r="56" spans="1:6" x14ac:dyDescent="0.25">
      <c r="A56" s="4">
        <v>46043</v>
      </c>
      <c r="B56" t="s">
        <v>45</v>
      </c>
      <c r="C56" t="s">
        <v>34</v>
      </c>
      <c r="D56" s="5" t="s">
        <v>19</v>
      </c>
      <c r="E56" t="s">
        <v>3</v>
      </c>
      <c r="F56" s="6">
        <v>14</v>
      </c>
    </row>
    <row r="57" spans="1:6" x14ac:dyDescent="0.25">
      <c r="A57" s="4">
        <v>46043</v>
      </c>
      <c r="B57" t="s">
        <v>45</v>
      </c>
      <c r="C57" t="s">
        <v>34</v>
      </c>
      <c r="D57" s="5" t="s">
        <v>19</v>
      </c>
      <c r="E57" t="s">
        <v>38</v>
      </c>
      <c r="F57" s="6">
        <v>9</v>
      </c>
    </row>
    <row r="58" spans="1:6" x14ac:dyDescent="0.25">
      <c r="A58" s="4">
        <v>46043</v>
      </c>
      <c r="B58" t="s">
        <v>45</v>
      </c>
      <c r="C58" t="s">
        <v>34</v>
      </c>
      <c r="D58" s="5" t="s">
        <v>20</v>
      </c>
      <c r="E58" t="s">
        <v>46</v>
      </c>
      <c r="F58" s="6">
        <v>6</v>
      </c>
    </row>
    <row r="59" spans="1:6" x14ac:dyDescent="0.25">
      <c r="A59" s="4">
        <v>46043</v>
      </c>
      <c r="B59" t="s">
        <v>45</v>
      </c>
      <c r="C59" t="s">
        <v>34</v>
      </c>
      <c r="D59" s="5" t="s">
        <v>20</v>
      </c>
      <c r="E59" t="s">
        <v>2</v>
      </c>
      <c r="F59" s="6">
        <v>1</v>
      </c>
    </row>
    <row r="60" spans="1:6" x14ac:dyDescent="0.25">
      <c r="A60" s="4">
        <v>46043</v>
      </c>
      <c r="B60" t="s">
        <v>45</v>
      </c>
      <c r="C60" t="s">
        <v>34</v>
      </c>
      <c r="D60" s="5" t="s">
        <v>20</v>
      </c>
      <c r="E60" t="s">
        <v>3</v>
      </c>
      <c r="F60" s="6">
        <v>4</v>
      </c>
    </row>
    <row r="61" spans="1:6" x14ac:dyDescent="0.25">
      <c r="A61" s="4">
        <v>46043</v>
      </c>
      <c r="B61" t="s">
        <v>45</v>
      </c>
      <c r="C61" t="s">
        <v>34</v>
      </c>
      <c r="D61" s="5" t="s">
        <v>20</v>
      </c>
      <c r="E61" t="s">
        <v>38</v>
      </c>
      <c r="F61" s="6">
        <v>3</v>
      </c>
    </row>
    <row r="62" spans="1:6" x14ac:dyDescent="0.25">
      <c r="A62" s="4">
        <v>46043</v>
      </c>
      <c r="B62" t="s">
        <v>45</v>
      </c>
      <c r="C62" t="s">
        <v>34</v>
      </c>
      <c r="D62" s="5" t="s">
        <v>21</v>
      </c>
      <c r="E62" t="s">
        <v>46</v>
      </c>
      <c r="F62" s="6">
        <v>2</v>
      </c>
    </row>
    <row r="63" spans="1:6" x14ac:dyDescent="0.25">
      <c r="A63" s="4">
        <v>46043</v>
      </c>
      <c r="B63" t="s">
        <v>45</v>
      </c>
      <c r="C63" t="s">
        <v>34</v>
      </c>
      <c r="D63" s="5" t="s">
        <v>21</v>
      </c>
      <c r="E63" t="s">
        <v>2</v>
      </c>
      <c r="F63" s="6">
        <v>1</v>
      </c>
    </row>
    <row r="64" spans="1:6" x14ac:dyDescent="0.25">
      <c r="A64" s="4">
        <v>46043</v>
      </c>
      <c r="B64" t="s">
        <v>45</v>
      </c>
      <c r="C64" t="s">
        <v>34</v>
      </c>
      <c r="D64" s="5" t="s">
        <v>21</v>
      </c>
      <c r="E64" t="s">
        <v>3</v>
      </c>
      <c r="F64" s="6">
        <v>13</v>
      </c>
    </row>
    <row r="65" spans="1:6" x14ac:dyDescent="0.25">
      <c r="A65" s="4">
        <v>46043</v>
      </c>
      <c r="B65" t="s">
        <v>45</v>
      </c>
      <c r="C65" t="s">
        <v>34</v>
      </c>
      <c r="D65" s="5" t="s">
        <v>21</v>
      </c>
      <c r="E65" t="s">
        <v>38</v>
      </c>
      <c r="F65" s="6">
        <v>3</v>
      </c>
    </row>
    <row r="66" spans="1:6" x14ac:dyDescent="0.25">
      <c r="A66" s="4">
        <v>46043</v>
      </c>
      <c r="B66" t="s">
        <v>45</v>
      </c>
      <c r="C66" t="s">
        <v>34</v>
      </c>
      <c r="D66" s="5" t="s">
        <v>22</v>
      </c>
      <c r="E66" t="s">
        <v>46</v>
      </c>
      <c r="F66" s="6">
        <v>8</v>
      </c>
    </row>
    <row r="67" spans="1:6" x14ac:dyDescent="0.25">
      <c r="A67" s="4">
        <v>46043</v>
      </c>
      <c r="B67" t="s">
        <v>45</v>
      </c>
      <c r="C67" t="s">
        <v>34</v>
      </c>
      <c r="D67" s="5" t="s">
        <v>22</v>
      </c>
      <c r="E67" t="s">
        <v>2</v>
      </c>
      <c r="F67" s="6">
        <v>2</v>
      </c>
    </row>
    <row r="68" spans="1:6" x14ac:dyDescent="0.25">
      <c r="A68" s="4">
        <v>46043</v>
      </c>
      <c r="B68" t="s">
        <v>45</v>
      </c>
      <c r="C68" t="s">
        <v>34</v>
      </c>
      <c r="D68" s="5" t="s">
        <v>22</v>
      </c>
      <c r="E68" t="s">
        <v>3</v>
      </c>
      <c r="F68" s="6">
        <v>4</v>
      </c>
    </row>
    <row r="69" spans="1:6" x14ac:dyDescent="0.25">
      <c r="A69" s="4">
        <v>46043</v>
      </c>
      <c r="B69" t="s">
        <v>45</v>
      </c>
      <c r="C69" t="s">
        <v>34</v>
      </c>
      <c r="D69" s="5" t="s">
        <v>22</v>
      </c>
      <c r="E69" t="s">
        <v>38</v>
      </c>
      <c r="F69" s="6">
        <v>5</v>
      </c>
    </row>
    <row r="70" spans="1:6" x14ac:dyDescent="0.25">
      <c r="A70" s="4">
        <v>46043</v>
      </c>
      <c r="B70" t="s">
        <v>45</v>
      </c>
      <c r="C70" t="s">
        <v>40</v>
      </c>
      <c r="D70" s="5" t="s">
        <v>23</v>
      </c>
      <c r="E70" t="s">
        <v>1</v>
      </c>
      <c r="F70" s="6">
        <v>41</v>
      </c>
    </row>
    <row r="71" spans="1:6" x14ac:dyDescent="0.25">
      <c r="A71" s="4">
        <v>46043</v>
      </c>
      <c r="B71" t="s">
        <v>45</v>
      </c>
      <c r="C71" t="s">
        <v>40</v>
      </c>
      <c r="D71" s="5" t="s">
        <v>24</v>
      </c>
      <c r="E71" t="s">
        <v>1</v>
      </c>
      <c r="F71" s="6">
        <v>26</v>
      </c>
    </row>
    <row r="72" spans="1:6" x14ac:dyDescent="0.25">
      <c r="A72" s="4">
        <v>46043</v>
      </c>
      <c r="B72" t="s">
        <v>45</v>
      </c>
      <c r="C72" t="s">
        <v>40</v>
      </c>
      <c r="D72" s="5" t="s">
        <v>25</v>
      </c>
      <c r="E72" t="s">
        <v>1</v>
      </c>
      <c r="F72" s="6">
        <v>29</v>
      </c>
    </row>
    <row r="73" spans="1:6" x14ac:dyDescent="0.25">
      <c r="A73" s="4">
        <v>46043</v>
      </c>
      <c r="B73" t="s">
        <v>45</v>
      </c>
      <c r="C73" t="s">
        <v>40</v>
      </c>
      <c r="D73" s="5" t="s">
        <v>26</v>
      </c>
      <c r="E73" t="s">
        <v>1</v>
      </c>
      <c r="F73" s="6">
        <v>54</v>
      </c>
    </row>
    <row r="74" spans="1:6" x14ac:dyDescent="0.25">
      <c r="A74" s="4">
        <v>46043</v>
      </c>
      <c r="B74" t="s">
        <v>45</v>
      </c>
      <c r="C74" t="s">
        <v>40</v>
      </c>
      <c r="D74" s="5" t="s">
        <v>27</v>
      </c>
      <c r="E74" t="s">
        <v>1</v>
      </c>
      <c r="F74" s="6">
        <v>102</v>
      </c>
    </row>
    <row r="75" spans="1:6" x14ac:dyDescent="0.25">
      <c r="A75" s="4">
        <v>46043</v>
      </c>
      <c r="B75" t="s">
        <v>45</v>
      </c>
      <c r="C75" t="s">
        <v>40</v>
      </c>
      <c r="D75" s="5" t="s">
        <v>28</v>
      </c>
      <c r="E75" t="s">
        <v>1</v>
      </c>
      <c r="F75" s="6">
        <v>30</v>
      </c>
    </row>
    <row r="76" spans="1:6" x14ac:dyDescent="0.25">
      <c r="A76" s="4">
        <v>46043</v>
      </c>
      <c r="B76" t="s">
        <v>45</v>
      </c>
      <c r="C76" t="s">
        <v>34</v>
      </c>
      <c r="D76" s="5" t="s">
        <v>29</v>
      </c>
      <c r="E76" t="s">
        <v>46</v>
      </c>
      <c r="F76" s="6">
        <v>60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FB124FA-1AA9-4EEB-AFE2-4F2F01A279FD}">
          <x14:formula1>
            <xm:f>veri!$E$1:$E$2</xm:f>
          </x14:formula1>
          <xm:sqref>B2:B76</xm:sqref>
        </x14:dataValidation>
        <x14:dataValidation type="list" allowBlank="1" showInputMessage="1" showErrorMessage="1" xr:uid="{DF5139C8-887B-4EEB-801C-44AF7F255E3E}">
          <x14:formula1>
            <xm:f>veri!$B:$B</xm:f>
          </x14:formula1>
          <xm:sqref>D2:D76</xm:sqref>
        </x14:dataValidation>
        <x14:dataValidation type="list" allowBlank="1" showInputMessage="1" showErrorMessage="1" xr:uid="{4F35E02C-432A-4A4B-8E8A-69F5A07CD604}">
          <x14:formula1>
            <xm:f>veri!$H:$H</xm:f>
          </x14:formula1>
          <xm:sqref>E2:E76</xm:sqref>
        </x14:dataValidation>
        <x14:dataValidation type="list" allowBlank="1" showInputMessage="1" showErrorMessage="1" xr:uid="{136E8ECC-DA7C-4CAD-80C0-7CC67F0267A9}">
          <x14:formula1>
            <xm:f>veri!$J:$J</xm:f>
          </x14:formula1>
          <xm:sqref>C2:C76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C866-BAEB-4A73-BE88-A45002794BD9}">
  <sheetPr>
    <tabColor theme="0" tint="-0.499984740745262"/>
  </sheetPr>
  <dimension ref="A1:Q26"/>
  <sheetViews>
    <sheetView tabSelected="1" workbookViewId="0">
      <selection activeCell="G31" sqref="G31"/>
    </sheetView>
  </sheetViews>
  <sheetFormatPr defaultColWidth="10.85546875" defaultRowHeight="15" x14ac:dyDescent="0.25"/>
  <cols>
    <col min="1" max="1" width="14.140625" bestFit="1" customWidth="1"/>
    <col min="2" max="2" width="34.7109375" bestFit="1" customWidth="1"/>
    <col min="3" max="9" width="10.85546875" style="6"/>
    <col min="10" max="10" width="12.85546875" style="6" bestFit="1" customWidth="1"/>
    <col min="11" max="17" width="10.85546875" style="6"/>
  </cols>
  <sheetData>
    <row r="1" spans="1:17" s="8" customFormat="1" x14ac:dyDescent="0.25">
      <c r="A1" s="8" t="s">
        <v>35</v>
      </c>
      <c r="B1" s="8" t="s">
        <v>0</v>
      </c>
      <c r="C1" s="13" t="s">
        <v>1</v>
      </c>
      <c r="D1" s="15" t="s">
        <v>46</v>
      </c>
      <c r="E1" s="17" t="s">
        <v>2</v>
      </c>
      <c r="F1" s="19" t="s">
        <v>32</v>
      </c>
      <c r="G1" s="21" t="s">
        <v>3</v>
      </c>
      <c r="H1" s="25" t="s">
        <v>4</v>
      </c>
      <c r="I1" s="23" t="s">
        <v>5</v>
      </c>
      <c r="J1" s="27" t="s">
        <v>47</v>
      </c>
      <c r="K1" s="29" t="s">
        <v>33</v>
      </c>
      <c r="L1" s="13" t="s">
        <v>36</v>
      </c>
      <c r="M1" s="31" t="s">
        <v>6</v>
      </c>
      <c r="N1" s="33" t="s">
        <v>37</v>
      </c>
      <c r="O1" s="35" t="s">
        <v>38</v>
      </c>
      <c r="P1" s="11" t="s">
        <v>7</v>
      </c>
      <c r="Q1" s="11" t="s">
        <v>39</v>
      </c>
    </row>
    <row r="2" spans="1:17" x14ac:dyDescent="0.25">
      <c r="A2" s="2" t="s">
        <v>34</v>
      </c>
      <c r="B2" s="10" t="s">
        <v>31</v>
      </c>
      <c r="C2" s="14" cm="1">
        <f t="array" ref="C2">IFERROR(
SUM(
IF(
(GIRIS_CIKIS!$B$2:$B$1002="GIRIS")*
(GIRIS_CIKIS!$C$2:$C$1002=$A2)*
(GIRIS_CIKIS!$D$2:$D$1002=$B2)*
(GIRIS_CIKIS!$E$2:$E$1002="DALDIRMA"),
GIRIS_CIKIS!$F$2:$F$1002
)
)
-
SUM(
IF(
(GIRIS_CIKIS!$B$2:$B$1002="CIKIS")*
(GIRIS_CIKIS!$C$2:$C$1002=$A2)*
(GIRIS_CIKIS!$D$2:$D$1002=$B2)*
(GIRIS_CIKIS!$E$2:$E$1002="DALDIRMA"),
GIRIS_CIKIS!$F$2:$F$1002
)
),0)</f>
        <v>0</v>
      </c>
      <c r="D2" s="16" cm="1">
        <f t="array" ref="D2">IFERROR(
SUM(
IF(
(GIRIS_CIKIS!$B$2:$B$1002="GIRIS")*
(GIRIS_CIKIS!$C$2:$C$1002=$A2)*
(GIRIS_CIKIS!$D$2:$D$1002=$B2)*
(GIRIS_CIKIS!$E$2:$E$1002="YESIL"),
GIRIS_CIKIS!$F$2:$F$1002
)
)
-
SUM(
IF(
(GIRIS_CIKIS!$B$2:$B$1002="CIKIS")*
(GIRIS_CIKIS!$C$2:$C$1002=$A2)*
(GIRIS_CIKIS!$D$2:$D$1002=$B2)*
(GIRIS_CIKIS!$E$2:$E$1002="YESIL"),
GIRIS_CIKIS!$F$2:$F$1002
)
),0)</f>
        <v>8</v>
      </c>
      <c r="E2" s="18" cm="1">
        <f t="array" ref="E2">IFERROR(
SUM(
IF(
(GIRIS_CIKIS!$B$2:$B$1002="GIRIS")*
(GIRIS_CIKIS!$C$2:$C$1002=$A2)*
(GIRIS_CIKIS!$D$2:$D$1002=$B2)*
(GIRIS_CIKIS!$E$2:$E$1002="MOR"),
GIRIS_CIKIS!$F$2:$F$1002
)
)
-
SUM(
IF(
(GIRIS_CIKIS!$B$2:$B$1002="CIKIS")*
(GIRIS_CIKIS!$C$2:$C$1002=$A2)*
(GIRIS_CIKIS!$D$2:$D$1002=$B2)*
(GIRIS_CIKIS!$E$2:$E$1002="MOR"),
GIRIS_CIKIS!$F$2:$F$1002
)
),0)</f>
        <v>0</v>
      </c>
      <c r="F2" s="20" cm="1">
        <f t="array" ref="F2">IFERROR(
SUM(
IF(
(GIRIS_CIKIS!$B$2:$B$1002="GIRIS")*
(GIRIS_CIKIS!$C$2:$C$1002=$A2)*
(GIRIS_CIKIS!$D$2:$D$1002=$B2)*
(GIRIS_CIKIS!$E$2:$E$1002="ACIK SARI"),
GIRIS_CIKIS!$F$2:$F$1002
)
)
-
SUM(
IF(
(GIRIS_CIKIS!$B$2:$B$1002="CIKIS")*
(GIRIS_CIKIS!$C$2:$C$1002=$A2)*
(GIRIS_CIKIS!$D$2:$D$1002=$B2)*
(GIRIS_CIKIS!$E$2:$E$1002="ACIK SARI"),
GIRIS_CIKIS!$F$2:$F$1002
)
),0)</f>
        <v>0</v>
      </c>
      <c r="G2" s="22" cm="1">
        <f t="array" ref="G2">IFERROR(
SUM(
IF(
(GIRIS_CIKIS!$B$2:$B$1002="GIRIS")*
(GIRIS_CIKIS!$C$2:$C$1002=$A2)*
(GIRIS_CIKIS!$D$2:$D$1002=$B2)*
(GIRIS_CIKIS!$E$2:$E$1002="SARI"),
GIRIS_CIKIS!$F$2:$F$1002
)
)
-
SUM(
IF(
(GIRIS_CIKIS!$B$2:$B$1002="CIKIS")*
(GIRIS_CIKIS!$C$2:$C$1002=$A2)*
(GIRIS_CIKIS!$D$2:$D$1002=$B2)*
(GIRIS_CIKIS!$E$2:$E$1002="SARI"),
GIRIS_CIKIS!$F$2:$F$1002
)
),0)</f>
        <v>4</v>
      </c>
      <c r="H2" s="26" cm="1">
        <f t="array" ref="H2">IFERROR(
SUM(
IF(
(GIRIS_CIKIS!$B$2:$B$1002="GIRIS")*
(GIRIS_CIKIS!$C$2:$C$1002=$A2)*
(GIRIS_CIKIS!$D$2:$D$1002=$B2)*
(GIRIS_CIKIS!$E$2:$E$1002="TURUNCU"),
GIRIS_CIKIS!$F$2:$F$1002
)
)
-
SUM(
IF(
(GIRIS_CIKIS!$B$2:$B$1002="CIKIS")*
(GIRIS_CIKIS!$C$2:$C$1002=$A2)*
(GIRIS_CIKIS!$D$2:$D$1002=$B2)*
(GIRIS_CIKIS!$E$2:$E$1002="TURUNCU"),
GIRIS_CIKIS!$F$2:$F$1002
)
),0)</f>
        <v>4</v>
      </c>
      <c r="I2" s="24" cm="1">
        <f t="array" ref="I2">IFERROR(
SUM(
IF(
(GIRIS_CIKIS!$B$2:$B$1002="GIRIS")*
(GIRIS_CIKIS!$C$2:$C$1002=$A2)*
(GIRIS_CIKIS!$D$2:$D$1002=$B2)*
(GIRIS_CIKIS!$E$2:$E$1002="KIRMIZI"),
GIRIS_CIKIS!$F$2:$F$1002
)
)
-
SUM(
IF(
(GIRIS_CIKIS!$B$2:$B$1002="CIKIS")*
(GIRIS_CIKIS!$C$2:$C$1002=$A2)*
(GIRIS_CIKIS!$D$2:$D$1002=$B2)*
(GIRIS_CIKIS!$E$2:$E$1002="KIRMIZI"),
GIRIS_CIKIS!$F$2:$F$1002
)
),0)</f>
        <v>0</v>
      </c>
      <c r="J2" s="28" cm="1">
        <f t="array" ref="J2">IFERROR(
SUM(
IF(
(GIRIS_CIKIS!$B$2:$B$1002="GIRIS")*
(GIRIS_CIKIS!$C$2:$C$1002=$A2)*
(GIRIS_CIKIS!$D$2:$D$1002=$B2)*
(GIRIS_CIKIS!$E$2:$E$1002="KAHVERENGI"),
GIRIS_CIKIS!$F$2:$F$1002
)
)
-
SUM(
IF(
(GIRIS_CIKIS!$B$2:$B$1002="CIKIS")*
(GIRIS_CIKIS!$C$2:$C$1002=$A2)*
(GIRIS_CIKIS!$D$2:$D$1002=$B2)*
(GIRIS_CIKIS!$E$2:$E$1002="KAHVERENGI"),
GIRIS_CIKIS!$F$2:$F$1002
)
),0)</f>
        <v>0</v>
      </c>
      <c r="K2" s="30" cm="1">
        <f t="array" ref="K2">IFERROR(
SUM(
IF(
(GIRIS_CIKIS!$B$2:$B$1002="GIRIS")*
(GIRIS_CIKIS!$C$2:$C$1002=$A2)*
(GIRIS_CIKIS!$D$2:$D$1002=$B2)*
(GIRIS_CIKIS!$E$2:$E$1002="ACIK MOR"),
GIRIS_CIKIS!$F$2:$F$1002
)
)
-
SUM(
IF(
(GIRIS_CIKIS!$B$2:$B$1002="CIKIS")*
(GIRIS_CIKIS!$C$2:$C$1002=$A2)*
(GIRIS_CIKIS!$D$2:$D$1002=$B2)*
(GIRIS_CIKIS!$E$2:$E$1002="ACIK MOR"),
GIRIS_CIKIS!$F$2:$F$1002
)
),0)</f>
        <v>0</v>
      </c>
      <c r="L2" s="14" cm="1">
        <f t="array" ref="L2">IFERROR(
SUM(
IF(
(GIRIS_CIKIS!$B$2:$B$1002="GIRIS")*
(GIRIS_CIKIS!$C$2:$C$1002=$A2)*
(GIRIS_CIKIS!$D$2:$D$1002=$B2)*
(GIRIS_CIKIS!$E$2:$E$1002="GRI"),
GIRIS_CIKIS!$F$2:$F$1002
)
)
-
SUM(
IF(
(GIRIS_CIKIS!$B$2:$B$1002="CIKIS")*
(GIRIS_CIKIS!$C$2:$C$1002=$A2)*
(GIRIS_CIKIS!$D$2:$D$1002=$B2)*
(GIRIS_CIKIS!$E$2:$E$1002="GRI"),
GIRIS_CIKIS!$F$2:$F$1002
)
),0)</f>
        <v>0</v>
      </c>
      <c r="M2" s="32" cm="1">
        <f t="array" ref="M2">IFERROR(
SUM(
IF(
(GIRIS_CIKIS!$B$2:$B$1002="GIRIS")*
(GIRIS_CIKIS!$C$2:$C$1002=$A2)*
(GIRIS_CIKIS!$D$2:$D$1002=$B2)*
(GIRIS_CIKIS!$E$2:$E$1002="TURKUAZ"),
GIRIS_CIKIS!$F$2:$F$1002
)
)
-
SUM(
IF(
(GIRIS_CIKIS!$B$2:$B$1002="CIKIS")*
(GIRIS_CIKIS!$C$2:$C$1002=$A2)*
(GIRIS_CIKIS!$D$2:$D$1002=$B2)*
(GIRIS_CIKIS!$E$2:$E$1002="TURKUAZ"),
GIRIS_CIKIS!$F$2:$F$1002
)
),0)</f>
        <v>0</v>
      </c>
      <c r="N2" s="34" cm="1">
        <f t="array" ref="N2">IFERROR(
SUM(
IF(
(GIRIS_CIKIS!$B$2:$B$1002="GIRIS")*
(GIRIS_CIKIS!$C$2:$C$1002=$A2)*
(GIRIS_CIKIS!$D$2:$D$1002=$B2)*
(GIRIS_CIKIS!$E$2:$E$1002="SIYAH"),
GIRIS_CIKIS!$F$2:$F$1002
)
)
-
SUM(
IF(
(GIRIS_CIKIS!$B$2:$B$1002="CIKIS")*
(GIRIS_CIKIS!$C$2:$C$1002=$A2)*
(GIRIS_CIKIS!$D$2:$D$1002=$B2)*
(GIRIS_CIKIS!$E$2:$E$1002="SIYAH"),
GIRIS_CIKIS!$F$2:$F$1002
)
),0)</f>
        <v>0</v>
      </c>
      <c r="O2" s="36" cm="1">
        <f t="array" ref="O2">IFERROR(
SUM(
IF(
(GIRIS_CIKIS!$B$2:$B$1002="GIRIS")*
(GIRIS_CIKIS!$C$2:$C$1002=$A2)*
(GIRIS_CIKIS!$D$2:$D$1002=$B2)*
(GIRIS_CIKIS!$E$2:$E$1002="MAVI"),
GIRIS_CIKIS!$F$2:$F$1002
)
)
-
SUM(
IF(
(GIRIS_CIKIS!$B$2:$B$1002="CIKIS")*
(GIRIS_CIKIS!$C$2:$C$1002=$A2)*
(GIRIS_CIKIS!$D$2:$D$1002=$B2)*
(GIRIS_CIKIS!$E$2:$E$1002="MAVI"),
GIRIS_CIKIS!$F$2:$F$1002
)
),0)</f>
        <v>0</v>
      </c>
      <c r="P2" s="12">
        <f>SUM(C2:O2)</f>
        <v>16</v>
      </c>
      <c r="Q2" s="37" t="s">
        <v>51</v>
      </c>
    </row>
    <row r="3" spans="1:17" x14ac:dyDescent="0.25">
      <c r="A3" s="2" t="s">
        <v>34</v>
      </c>
      <c r="B3" s="10" t="s">
        <v>9</v>
      </c>
      <c r="C3" s="14" cm="1">
        <f t="array" ref="C3">IFERROR(
SUM(
IF(
(GIRIS_CIKIS!$B$2:$B$1002="GIRIS")*
(GIRIS_CIKIS!$C$2:$C$1002=$A3)*
(GIRIS_CIKIS!$D$2:$D$1002=$B3)*
(GIRIS_CIKIS!$E$2:$E$1002="DALDIRMA"),
GIRIS_CIKIS!$F$2:$F$1002
)
)
-
SUM(
IF(
(GIRIS_CIKIS!$B$2:$B$1002="CIKIS")*
(GIRIS_CIKIS!$C$2:$C$1002=$A3)*
(GIRIS_CIKIS!$D$2:$D$1002=$B3)*
(GIRIS_CIKIS!$E$2:$E$1002="DALDIRMA"),
GIRIS_CIKIS!$F$2:$F$1002
)
),0)</f>
        <v>0</v>
      </c>
      <c r="D3" s="16" cm="1">
        <f t="array" ref="D3">IFERROR(
SUM(
IF(
(GIRIS_CIKIS!$B$2:$B$1002="GIRIS")*
(GIRIS_CIKIS!$C$2:$C$1002=$A3)*
(GIRIS_CIKIS!$D$2:$D$1002=$B3)*
(GIRIS_CIKIS!$E$2:$E$1002="YESIL"),
GIRIS_CIKIS!$F$2:$F$1002
)
)
-
SUM(
IF(
(GIRIS_CIKIS!$B$2:$B$1002="CIKIS")*
(GIRIS_CIKIS!$C$2:$C$1002=$A3)*
(GIRIS_CIKIS!$D$2:$D$1002=$B3)*
(GIRIS_CIKIS!$E$2:$E$1002="YESIL"),
GIRIS_CIKIS!$F$2:$F$1002
)
),0)</f>
        <v>3</v>
      </c>
      <c r="E3" s="18" cm="1">
        <f t="array" ref="E3">IFERROR(
SUM(
IF(
(GIRIS_CIKIS!$B$2:$B$1002="GIRIS")*
(GIRIS_CIKIS!$C$2:$C$1002=$A3)*
(GIRIS_CIKIS!$D$2:$D$1002=$B3)*
(GIRIS_CIKIS!$E$2:$E$1002="MOR"),
GIRIS_CIKIS!$F$2:$F$1002
)
)
-
SUM(
IF(
(GIRIS_CIKIS!$B$2:$B$1002="CIKIS")*
(GIRIS_CIKIS!$C$2:$C$1002=$A3)*
(GIRIS_CIKIS!$D$2:$D$1002=$B3)*
(GIRIS_CIKIS!$E$2:$E$1002="MOR"),
GIRIS_CIKIS!$F$2:$F$1002
)
),0)</f>
        <v>3</v>
      </c>
      <c r="F3" s="20" cm="1">
        <f t="array" ref="F3">IFERROR(
SUM(
IF(
(GIRIS_CIKIS!$B$2:$B$1002="GIRIS")*
(GIRIS_CIKIS!$C$2:$C$1002=$A3)*
(GIRIS_CIKIS!$D$2:$D$1002=$B3)*
(GIRIS_CIKIS!$E$2:$E$1002="ACIK SARI"),
GIRIS_CIKIS!$F$2:$F$1002
)
)
-
SUM(
IF(
(GIRIS_CIKIS!$B$2:$B$1002="CIKIS")*
(GIRIS_CIKIS!$C$2:$C$1002=$A3)*
(GIRIS_CIKIS!$D$2:$D$1002=$B3)*
(GIRIS_CIKIS!$E$2:$E$1002="ACIK SARI"),
GIRIS_CIKIS!$F$2:$F$1002
)
),0)</f>
        <v>0</v>
      </c>
      <c r="G3" s="22" cm="1">
        <f t="array" ref="G3">IFERROR(
SUM(
IF(
(GIRIS_CIKIS!$B$2:$B$1002="GIRIS")*
(GIRIS_CIKIS!$C$2:$C$1002=$A3)*
(GIRIS_CIKIS!$D$2:$D$1002=$B3)*
(GIRIS_CIKIS!$E$2:$E$1002="SARI"),
GIRIS_CIKIS!$F$2:$F$1002
)
)
-
SUM(
IF(
(GIRIS_CIKIS!$B$2:$B$1002="CIKIS")*
(GIRIS_CIKIS!$C$2:$C$1002=$A3)*
(GIRIS_CIKIS!$D$2:$D$1002=$B3)*
(GIRIS_CIKIS!$E$2:$E$1002="SARI"),
GIRIS_CIKIS!$F$2:$F$1002
)
),0)</f>
        <v>3</v>
      </c>
      <c r="H3" s="26" cm="1">
        <f t="array" ref="H3">IFERROR(
SUM(
IF(
(GIRIS_CIKIS!$B$2:$B$1002="GIRIS")*
(GIRIS_CIKIS!$C$2:$C$1002=$A3)*
(GIRIS_CIKIS!$D$2:$D$1002=$B3)*
(GIRIS_CIKIS!$E$2:$E$1002="TURUNCU"),
GIRIS_CIKIS!$F$2:$F$1002
)
)
-
SUM(
IF(
(GIRIS_CIKIS!$B$2:$B$1002="CIKIS")*
(GIRIS_CIKIS!$C$2:$C$1002=$A3)*
(GIRIS_CIKIS!$D$2:$D$1002=$B3)*
(GIRIS_CIKIS!$E$2:$E$1002="TURUNCU"),
GIRIS_CIKIS!$F$2:$F$1002
)
),0)</f>
        <v>2</v>
      </c>
      <c r="I3" s="24" cm="1">
        <f t="array" ref="I3">IFERROR(
SUM(
IF(
(GIRIS_CIKIS!$B$2:$B$1002="GIRIS")*
(GIRIS_CIKIS!$C$2:$C$1002=$A3)*
(GIRIS_CIKIS!$D$2:$D$1002=$B3)*
(GIRIS_CIKIS!$E$2:$E$1002="KIRMIZI"),
GIRIS_CIKIS!$F$2:$F$1002
)
)
-
SUM(
IF(
(GIRIS_CIKIS!$B$2:$B$1002="CIKIS")*
(GIRIS_CIKIS!$C$2:$C$1002=$A3)*
(GIRIS_CIKIS!$D$2:$D$1002=$B3)*
(GIRIS_CIKIS!$E$2:$E$1002="KIRMIZI"),
GIRIS_CIKIS!$F$2:$F$1002
)
),0)</f>
        <v>0</v>
      </c>
      <c r="J3" s="28" cm="1">
        <f t="array" ref="J3">IFERROR(
SUM(
IF(
(GIRIS_CIKIS!$B$2:$B$1002="GIRIS")*
(GIRIS_CIKIS!$C$2:$C$1002=$A3)*
(GIRIS_CIKIS!$D$2:$D$1002=$B3)*
(GIRIS_CIKIS!$E$2:$E$1002="KAHVERENGI"),
GIRIS_CIKIS!$F$2:$F$1002
)
)
-
SUM(
IF(
(GIRIS_CIKIS!$B$2:$B$1002="CIKIS")*
(GIRIS_CIKIS!$C$2:$C$1002=$A3)*
(GIRIS_CIKIS!$D$2:$D$1002=$B3)*
(GIRIS_CIKIS!$E$2:$E$1002="KAHVERENGI"),
GIRIS_CIKIS!$F$2:$F$1002
)
),0)</f>
        <v>2</v>
      </c>
      <c r="K3" s="30" cm="1">
        <f t="array" ref="K3">IFERROR(
SUM(
IF(
(GIRIS_CIKIS!$B$2:$B$1002="GIRIS")*
(GIRIS_CIKIS!$C$2:$C$1002=$A3)*
(GIRIS_CIKIS!$D$2:$D$1002=$B3)*
(GIRIS_CIKIS!$E$2:$E$1002="ACIK MOR"),
GIRIS_CIKIS!$F$2:$F$1002
)
)
-
SUM(
IF(
(GIRIS_CIKIS!$B$2:$B$1002="CIKIS")*
(GIRIS_CIKIS!$C$2:$C$1002=$A3)*
(GIRIS_CIKIS!$D$2:$D$1002=$B3)*
(GIRIS_CIKIS!$E$2:$E$1002="ACIK MOR"),
GIRIS_CIKIS!$F$2:$F$1002
)
),0)</f>
        <v>0</v>
      </c>
      <c r="L3" s="14" cm="1">
        <f t="array" ref="L3">IFERROR(
SUM(
IF(
(GIRIS_CIKIS!$B$2:$B$1002="GIRIS")*
(GIRIS_CIKIS!$C$2:$C$1002=$A3)*
(GIRIS_CIKIS!$D$2:$D$1002=$B3)*
(GIRIS_CIKIS!$E$2:$E$1002="GRI"),
GIRIS_CIKIS!$F$2:$F$1002
)
)
-
SUM(
IF(
(GIRIS_CIKIS!$B$2:$B$1002="CIKIS")*
(GIRIS_CIKIS!$C$2:$C$1002=$A3)*
(GIRIS_CIKIS!$D$2:$D$1002=$B3)*
(GIRIS_CIKIS!$E$2:$E$1002="GRI"),
GIRIS_CIKIS!$F$2:$F$1002
)
),0)</f>
        <v>0</v>
      </c>
      <c r="M3" s="32" cm="1">
        <f t="array" ref="M3">IFERROR(
SUM(
IF(
(GIRIS_CIKIS!$B$2:$B$1002="GIRIS")*
(GIRIS_CIKIS!$C$2:$C$1002=$A3)*
(GIRIS_CIKIS!$D$2:$D$1002=$B3)*
(GIRIS_CIKIS!$E$2:$E$1002="TURKUAZ"),
GIRIS_CIKIS!$F$2:$F$1002
)
)
-
SUM(
IF(
(GIRIS_CIKIS!$B$2:$B$1002="CIKIS")*
(GIRIS_CIKIS!$C$2:$C$1002=$A3)*
(GIRIS_CIKIS!$D$2:$D$1002=$B3)*
(GIRIS_CIKIS!$E$2:$E$1002="TURKUAZ"),
GIRIS_CIKIS!$F$2:$F$1002
)
),0)</f>
        <v>0</v>
      </c>
      <c r="N3" s="34" cm="1">
        <f t="array" ref="N3">IFERROR(
SUM(
IF(
(GIRIS_CIKIS!$B$2:$B$1002="GIRIS")*
(GIRIS_CIKIS!$C$2:$C$1002=$A3)*
(GIRIS_CIKIS!$D$2:$D$1002=$B3)*
(GIRIS_CIKIS!$E$2:$E$1002="SIYAH"),
GIRIS_CIKIS!$F$2:$F$1002
)
)
-
SUM(
IF(
(GIRIS_CIKIS!$B$2:$B$1002="CIKIS")*
(GIRIS_CIKIS!$C$2:$C$1002=$A3)*
(GIRIS_CIKIS!$D$2:$D$1002=$B3)*
(GIRIS_CIKIS!$E$2:$E$1002="SIYAH"),
GIRIS_CIKIS!$F$2:$F$1002
)
),0)</f>
        <v>0</v>
      </c>
      <c r="O3" s="36" cm="1">
        <f t="array" ref="O3">IFERROR(
SUM(
IF(
(GIRIS_CIKIS!$B$2:$B$1002="GIRIS")*
(GIRIS_CIKIS!$C$2:$C$1002=$A3)*
(GIRIS_CIKIS!$D$2:$D$1002=$B3)*
(GIRIS_CIKIS!$E$2:$E$1002="MAVI"),
GIRIS_CIKIS!$F$2:$F$1002
)
)
-
SUM(
IF(
(GIRIS_CIKIS!$B$2:$B$1002="CIKIS")*
(GIRIS_CIKIS!$C$2:$C$1002=$A3)*
(GIRIS_CIKIS!$D$2:$D$1002=$B3)*
(GIRIS_CIKIS!$E$2:$E$1002="MAVI"),
GIRIS_CIKIS!$F$2:$F$1002
)
),0)</f>
        <v>0</v>
      </c>
      <c r="P3" s="12">
        <f>SUM(C3:O3)</f>
        <v>13</v>
      </c>
      <c r="Q3" s="37" t="s">
        <v>51</v>
      </c>
    </row>
    <row r="4" spans="1:17" x14ac:dyDescent="0.25">
      <c r="A4" s="2" t="s">
        <v>40</v>
      </c>
      <c r="B4" s="10" t="s">
        <v>10</v>
      </c>
      <c r="C4" s="14" cm="1">
        <f t="array" ref="C4">IFERROR(
SUM(
IF(
(GIRIS_CIKIS!$B$2:$B$1002="GIRIS")*
(GIRIS_CIKIS!$C$2:$C$1002=$A4)*
(GIRIS_CIKIS!$D$2:$D$1002=$B4)*
(GIRIS_CIKIS!$E$2:$E$1002="DALDIRMA"),
GIRIS_CIKIS!$F$2:$F$1002
)
)
-
SUM(
IF(
(GIRIS_CIKIS!$B$2:$B$1002="CIKIS")*
(GIRIS_CIKIS!$C$2:$C$1002=$A4)*
(GIRIS_CIKIS!$D$2:$D$1002=$B4)*
(GIRIS_CIKIS!$E$2:$E$1002="DALDIRMA"),
GIRIS_CIKIS!$F$2:$F$1002
)
),0)</f>
        <v>0</v>
      </c>
      <c r="D4" s="16" cm="1">
        <f t="array" ref="D4">IFERROR(
SUM(
IF(
(GIRIS_CIKIS!$B$2:$B$1002="GIRIS")*
(GIRIS_CIKIS!$C$2:$C$1002=$A4)*
(GIRIS_CIKIS!$D$2:$D$1002=$B4)*
(GIRIS_CIKIS!$E$2:$E$1002="YESIL"),
GIRIS_CIKIS!$F$2:$F$1002
)
)
-
SUM(
IF(
(GIRIS_CIKIS!$B$2:$B$1002="CIKIS")*
(GIRIS_CIKIS!$C$2:$C$1002=$A4)*
(GIRIS_CIKIS!$D$2:$D$1002=$B4)*
(GIRIS_CIKIS!$E$2:$E$1002="YESIL"),
GIRIS_CIKIS!$F$2:$F$1002
)
),0)</f>
        <v>10</v>
      </c>
      <c r="E4" s="18" cm="1">
        <f t="array" ref="E4">IFERROR(
SUM(
IF(
(GIRIS_CIKIS!$B$2:$B$1002="GIRIS")*
(GIRIS_CIKIS!$C$2:$C$1002=$A4)*
(GIRIS_CIKIS!$D$2:$D$1002=$B4)*
(GIRIS_CIKIS!$E$2:$E$1002="MOR"),
GIRIS_CIKIS!$F$2:$F$1002
)
)
-
SUM(
IF(
(GIRIS_CIKIS!$B$2:$B$1002="CIKIS")*
(GIRIS_CIKIS!$C$2:$C$1002=$A4)*
(GIRIS_CIKIS!$D$2:$D$1002=$B4)*
(GIRIS_CIKIS!$E$2:$E$1002="MOR"),
GIRIS_CIKIS!$F$2:$F$1002
)
),0)</f>
        <v>1</v>
      </c>
      <c r="F4" s="20" cm="1">
        <f t="array" ref="F4">IFERROR(
SUM(
IF(
(GIRIS_CIKIS!$B$2:$B$1002="GIRIS")*
(GIRIS_CIKIS!$C$2:$C$1002=$A4)*
(GIRIS_CIKIS!$D$2:$D$1002=$B4)*
(GIRIS_CIKIS!$E$2:$E$1002="ACIK SARI"),
GIRIS_CIKIS!$F$2:$F$1002
)
)
-
SUM(
IF(
(GIRIS_CIKIS!$B$2:$B$1002="CIKIS")*
(GIRIS_CIKIS!$C$2:$C$1002=$A4)*
(GIRIS_CIKIS!$D$2:$D$1002=$B4)*
(GIRIS_CIKIS!$E$2:$E$1002="ACIK SARI"),
GIRIS_CIKIS!$F$2:$F$1002
)
),0)</f>
        <v>0</v>
      </c>
      <c r="G4" s="22" cm="1">
        <f t="array" ref="G4">IFERROR(
SUM(
IF(
(GIRIS_CIKIS!$B$2:$B$1002="GIRIS")*
(GIRIS_CIKIS!$C$2:$C$1002=$A4)*
(GIRIS_CIKIS!$D$2:$D$1002=$B4)*
(GIRIS_CIKIS!$E$2:$E$1002="SARI"),
GIRIS_CIKIS!$F$2:$F$1002
)
)
-
SUM(
IF(
(GIRIS_CIKIS!$B$2:$B$1002="CIKIS")*
(GIRIS_CIKIS!$C$2:$C$1002=$A4)*
(GIRIS_CIKIS!$D$2:$D$1002=$B4)*
(GIRIS_CIKIS!$E$2:$E$1002="SARI"),
GIRIS_CIKIS!$F$2:$F$1002
)
),0)</f>
        <v>4</v>
      </c>
      <c r="H4" s="26" cm="1">
        <f t="array" ref="H4">IFERROR(
SUM(
IF(
(GIRIS_CIKIS!$B$2:$B$1002="GIRIS")*
(GIRIS_CIKIS!$C$2:$C$1002=$A4)*
(GIRIS_CIKIS!$D$2:$D$1002=$B4)*
(GIRIS_CIKIS!$E$2:$E$1002="TURUNCU"),
GIRIS_CIKIS!$F$2:$F$1002
)
)
-
SUM(
IF(
(GIRIS_CIKIS!$B$2:$B$1002="CIKIS")*
(GIRIS_CIKIS!$C$2:$C$1002=$A4)*
(GIRIS_CIKIS!$D$2:$D$1002=$B4)*
(GIRIS_CIKIS!$E$2:$E$1002="TURUNCU"),
GIRIS_CIKIS!$F$2:$F$1002
)
),0)</f>
        <v>7</v>
      </c>
      <c r="I4" s="24" cm="1">
        <f t="array" ref="I4">IFERROR(
SUM(
IF(
(GIRIS_CIKIS!$B$2:$B$1002="GIRIS")*
(GIRIS_CIKIS!$C$2:$C$1002=$A4)*
(GIRIS_CIKIS!$D$2:$D$1002=$B4)*
(GIRIS_CIKIS!$E$2:$E$1002="KIRMIZI"),
GIRIS_CIKIS!$F$2:$F$1002
)
)
-
SUM(
IF(
(GIRIS_CIKIS!$B$2:$B$1002="CIKIS")*
(GIRIS_CIKIS!$C$2:$C$1002=$A4)*
(GIRIS_CIKIS!$D$2:$D$1002=$B4)*
(GIRIS_CIKIS!$E$2:$E$1002="KIRMIZI"),
GIRIS_CIKIS!$F$2:$F$1002
)
),0)</f>
        <v>0</v>
      </c>
      <c r="J4" s="28" cm="1">
        <f t="array" ref="J4">IFERROR(
SUM(
IF(
(GIRIS_CIKIS!$B$2:$B$1002="GIRIS")*
(GIRIS_CIKIS!$C$2:$C$1002=$A4)*
(GIRIS_CIKIS!$D$2:$D$1002=$B4)*
(GIRIS_CIKIS!$E$2:$E$1002="KAHVERENGI"),
GIRIS_CIKIS!$F$2:$F$1002
)
)
-
SUM(
IF(
(GIRIS_CIKIS!$B$2:$B$1002="CIKIS")*
(GIRIS_CIKIS!$C$2:$C$1002=$A4)*
(GIRIS_CIKIS!$D$2:$D$1002=$B4)*
(GIRIS_CIKIS!$E$2:$E$1002="KAHVERENGI"),
GIRIS_CIKIS!$F$2:$F$1002
)
),0)</f>
        <v>0</v>
      </c>
      <c r="K4" s="30" cm="1">
        <f t="array" ref="K4">IFERROR(
SUM(
IF(
(GIRIS_CIKIS!$B$2:$B$1002="GIRIS")*
(GIRIS_CIKIS!$C$2:$C$1002=$A4)*
(GIRIS_CIKIS!$D$2:$D$1002=$B4)*
(GIRIS_CIKIS!$E$2:$E$1002="ACIK MOR"),
GIRIS_CIKIS!$F$2:$F$1002
)
)
-
SUM(
IF(
(GIRIS_CIKIS!$B$2:$B$1002="CIKIS")*
(GIRIS_CIKIS!$C$2:$C$1002=$A4)*
(GIRIS_CIKIS!$D$2:$D$1002=$B4)*
(GIRIS_CIKIS!$E$2:$E$1002="ACIK MOR"),
GIRIS_CIKIS!$F$2:$F$1002
)
),0)</f>
        <v>0</v>
      </c>
      <c r="L4" s="14" cm="1">
        <f t="array" ref="L4">IFERROR(
SUM(
IF(
(GIRIS_CIKIS!$B$2:$B$1002="GIRIS")*
(GIRIS_CIKIS!$C$2:$C$1002=$A4)*
(GIRIS_CIKIS!$D$2:$D$1002=$B4)*
(GIRIS_CIKIS!$E$2:$E$1002="GRI"),
GIRIS_CIKIS!$F$2:$F$1002
)
)
-
SUM(
IF(
(GIRIS_CIKIS!$B$2:$B$1002="CIKIS")*
(GIRIS_CIKIS!$C$2:$C$1002=$A4)*
(GIRIS_CIKIS!$D$2:$D$1002=$B4)*
(GIRIS_CIKIS!$E$2:$E$1002="GRI"),
GIRIS_CIKIS!$F$2:$F$1002
)
),0)</f>
        <v>0</v>
      </c>
      <c r="M4" s="32" cm="1">
        <f t="array" ref="M4">IFERROR(
SUM(
IF(
(GIRIS_CIKIS!$B$2:$B$1002="GIRIS")*
(GIRIS_CIKIS!$C$2:$C$1002=$A4)*
(GIRIS_CIKIS!$D$2:$D$1002=$B4)*
(GIRIS_CIKIS!$E$2:$E$1002="TURKUAZ"),
GIRIS_CIKIS!$F$2:$F$1002
)
)
-
SUM(
IF(
(GIRIS_CIKIS!$B$2:$B$1002="CIKIS")*
(GIRIS_CIKIS!$C$2:$C$1002=$A4)*
(GIRIS_CIKIS!$D$2:$D$1002=$B4)*
(GIRIS_CIKIS!$E$2:$E$1002="TURKUAZ"),
GIRIS_CIKIS!$F$2:$F$1002
)
),0)</f>
        <v>0</v>
      </c>
      <c r="N4" s="34" cm="1">
        <f t="array" ref="N4">IFERROR(
SUM(
IF(
(GIRIS_CIKIS!$B$2:$B$1002="GIRIS")*
(GIRIS_CIKIS!$C$2:$C$1002=$A4)*
(GIRIS_CIKIS!$D$2:$D$1002=$B4)*
(GIRIS_CIKIS!$E$2:$E$1002="SIYAH"),
GIRIS_CIKIS!$F$2:$F$1002
)
)
-
SUM(
IF(
(GIRIS_CIKIS!$B$2:$B$1002="CIKIS")*
(GIRIS_CIKIS!$C$2:$C$1002=$A4)*
(GIRIS_CIKIS!$D$2:$D$1002=$B4)*
(GIRIS_CIKIS!$E$2:$E$1002="SIYAH"),
GIRIS_CIKIS!$F$2:$F$1002
)
),0)</f>
        <v>0</v>
      </c>
      <c r="O4" s="36" cm="1">
        <f t="array" ref="O4">IFERROR(
SUM(
IF(
(GIRIS_CIKIS!$B$2:$B$1002="GIRIS")*
(GIRIS_CIKIS!$C$2:$C$1002=$A4)*
(GIRIS_CIKIS!$D$2:$D$1002=$B4)*
(GIRIS_CIKIS!$E$2:$E$1002="MAVI"),
GIRIS_CIKIS!$F$2:$F$1002
)
)
-
SUM(
IF(
(GIRIS_CIKIS!$B$2:$B$1002="CIKIS")*
(GIRIS_CIKIS!$C$2:$C$1002=$A4)*
(GIRIS_CIKIS!$D$2:$D$1002=$B4)*
(GIRIS_CIKIS!$E$2:$E$1002="MAVI"),
GIRIS_CIKIS!$F$2:$F$1002
)
),0)</f>
        <v>0</v>
      </c>
      <c r="P4" s="12">
        <f>SUM(C4:O4)</f>
        <v>22</v>
      </c>
      <c r="Q4" s="37" t="s">
        <v>51</v>
      </c>
    </row>
    <row r="5" spans="1:17" x14ac:dyDescent="0.25">
      <c r="A5" s="2" t="s">
        <v>40</v>
      </c>
      <c r="B5" s="10" t="s">
        <v>11</v>
      </c>
      <c r="C5" s="14" cm="1">
        <f t="array" ref="C5">IFERROR(
SUM(
IF(
(GIRIS_CIKIS!$B$2:$B$1002="GIRIS")*
(GIRIS_CIKIS!$C$2:$C$1002=$A5)*
(GIRIS_CIKIS!$D$2:$D$1002=$B5)*
(GIRIS_CIKIS!$E$2:$E$1002="DALDIRMA"),
GIRIS_CIKIS!$F$2:$F$1002
)
)
-
SUM(
IF(
(GIRIS_CIKIS!$B$2:$B$1002="CIKIS")*
(GIRIS_CIKIS!$C$2:$C$1002=$A5)*
(GIRIS_CIKIS!$D$2:$D$1002=$B5)*
(GIRIS_CIKIS!$E$2:$E$1002="DALDIRMA"),
GIRIS_CIKIS!$F$2:$F$1002
)
),0)</f>
        <v>0</v>
      </c>
      <c r="D5" s="16" cm="1">
        <f t="array" ref="D5">IFERROR(
SUM(
IF(
(GIRIS_CIKIS!$B$2:$B$1002="GIRIS")*
(GIRIS_CIKIS!$C$2:$C$1002=$A5)*
(GIRIS_CIKIS!$D$2:$D$1002=$B5)*
(GIRIS_CIKIS!$E$2:$E$1002="YESIL"),
GIRIS_CIKIS!$F$2:$F$1002
)
)
-
SUM(
IF(
(GIRIS_CIKIS!$B$2:$B$1002="CIKIS")*
(GIRIS_CIKIS!$C$2:$C$1002=$A5)*
(GIRIS_CIKIS!$D$2:$D$1002=$B5)*
(GIRIS_CIKIS!$E$2:$E$1002="YESIL"),
GIRIS_CIKIS!$F$2:$F$1002
)
),0)</f>
        <v>3</v>
      </c>
      <c r="E5" s="18" cm="1">
        <f t="array" ref="E5">IFERROR(
SUM(
IF(
(GIRIS_CIKIS!$B$2:$B$1002="GIRIS")*
(GIRIS_CIKIS!$C$2:$C$1002=$A5)*
(GIRIS_CIKIS!$D$2:$D$1002=$B5)*
(GIRIS_CIKIS!$E$2:$E$1002="MOR"),
GIRIS_CIKIS!$F$2:$F$1002
)
)
-
SUM(
IF(
(GIRIS_CIKIS!$B$2:$B$1002="CIKIS")*
(GIRIS_CIKIS!$C$2:$C$1002=$A5)*
(GIRIS_CIKIS!$D$2:$D$1002=$B5)*
(GIRIS_CIKIS!$E$2:$E$1002="MOR"),
GIRIS_CIKIS!$F$2:$F$1002
)
),0)</f>
        <v>0</v>
      </c>
      <c r="F5" s="20" cm="1">
        <f t="array" ref="F5">IFERROR(
SUM(
IF(
(GIRIS_CIKIS!$B$2:$B$1002="GIRIS")*
(GIRIS_CIKIS!$C$2:$C$1002=$A5)*
(GIRIS_CIKIS!$D$2:$D$1002=$B5)*
(GIRIS_CIKIS!$E$2:$E$1002="ACIK SARI"),
GIRIS_CIKIS!$F$2:$F$1002
)
)
-
SUM(
IF(
(GIRIS_CIKIS!$B$2:$B$1002="CIKIS")*
(GIRIS_CIKIS!$C$2:$C$1002=$A5)*
(GIRIS_CIKIS!$D$2:$D$1002=$B5)*
(GIRIS_CIKIS!$E$2:$E$1002="ACIK SARI"),
GIRIS_CIKIS!$F$2:$F$1002
)
),0)</f>
        <v>0</v>
      </c>
      <c r="G5" s="22" cm="1">
        <f t="array" ref="G5">IFERROR(
SUM(
IF(
(GIRIS_CIKIS!$B$2:$B$1002="GIRIS")*
(GIRIS_CIKIS!$C$2:$C$1002=$A5)*
(GIRIS_CIKIS!$D$2:$D$1002=$B5)*
(GIRIS_CIKIS!$E$2:$E$1002="SARI"),
GIRIS_CIKIS!$F$2:$F$1002
)
)
-
SUM(
IF(
(GIRIS_CIKIS!$B$2:$B$1002="CIKIS")*
(GIRIS_CIKIS!$C$2:$C$1002=$A5)*
(GIRIS_CIKIS!$D$2:$D$1002=$B5)*
(GIRIS_CIKIS!$E$2:$E$1002="SARI"),
GIRIS_CIKIS!$F$2:$F$1002
)
),0)</f>
        <v>8</v>
      </c>
      <c r="H5" s="26" cm="1">
        <f t="array" ref="H5">IFERROR(
SUM(
IF(
(GIRIS_CIKIS!$B$2:$B$1002="GIRIS")*
(GIRIS_CIKIS!$C$2:$C$1002=$A5)*
(GIRIS_CIKIS!$D$2:$D$1002=$B5)*
(GIRIS_CIKIS!$E$2:$E$1002="TURUNCU"),
GIRIS_CIKIS!$F$2:$F$1002
)
)
-
SUM(
IF(
(GIRIS_CIKIS!$B$2:$B$1002="CIKIS")*
(GIRIS_CIKIS!$C$2:$C$1002=$A5)*
(GIRIS_CIKIS!$D$2:$D$1002=$B5)*
(GIRIS_CIKIS!$E$2:$E$1002="TURUNCU"),
GIRIS_CIKIS!$F$2:$F$1002
)
),0)</f>
        <v>0</v>
      </c>
      <c r="I5" s="24" cm="1">
        <f t="array" ref="I5">IFERROR(
SUM(
IF(
(GIRIS_CIKIS!$B$2:$B$1002="GIRIS")*
(GIRIS_CIKIS!$C$2:$C$1002=$A5)*
(GIRIS_CIKIS!$D$2:$D$1002=$B5)*
(GIRIS_CIKIS!$E$2:$E$1002="KIRMIZI"),
GIRIS_CIKIS!$F$2:$F$1002
)
)
-
SUM(
IF(
(GIRIS_CIKIS!$B$2:$B$1002="CIKIS")*
(GIRIS_CIKIS!$C$2:$C$1002=$A5)*
(GIRIS_CIKIS!$D$2:$D$1002=$B5)*
(GIRIS_CIKIS!$E$2:$E$1002="KIRMIZI"),
GIRIS_CIKIS!$F$2:$F$1002
)
),0)</f>
        <v>0</v>
      </c>
      <c r="J5" s="28" cm="1">
        <f t="array" ref="J5">IFERROR(
SUM(
IF(
(GIRIS_CIKIS!$B$2:$B$1002="GIRIS")*
(GIRIS_CIKIS!$C$2:$C$1002=$A5)*
(GIRIS_CIKIS!$D$2:$D$1002=$B5)*
(GIRIS_CIKIS!$E$2:$E$1002="KAHVERENGI"),
GIRIS_CIKIS!$F$2:$F$1002
)
)
-
SUM(
IF(
(GIRIS_CIKIS!$B$2:$B$1002="CIKIS")*
(GIRIS_CIKIS!$C$2:$C$1002=$A5)*
(GIRIS_CIKIS!$D$2:$D$1002=$B5)*
(GIRIS_CIKIS!$E$2:$E$1002="KAHVERENGI"),
GIRIS_CIKIS!$F$2:$F$1002
)
),0)</f>
        <v>0</v>
      </c>
      <c r="K5" s="30" cm="1">
        <f t="array" ref="K5">IFERROR(
SUM(
IF(
(GIRIS_CIKIS!$B$2:$B$1002="GIRIS")*
(GIRIS_CIKIS!$C$2:$C$1002=$A5)*
(GIRIS_CIKIS!$D$2:$D$1002=$B5)*
(GIRIS_CIKIS!$E$2:$E$1002="ACIK MOR"),
GIRIS_CIKIS!$F$2:$F$1002
)
)
-
SUM(
IF(
(GIRIS_CIKIS!$B$2:$B$1002="CIKIS")*
(GIRIS_CIKIS!$C$2:$C$1002=$A5)*
(GIRIS_CIKIS!$D$2:$D$1002=$B5)*
(GIRIS_CIKIS!$E$2:$E$1002="ACIK MOR"),
GIRIS_CIKIS!$F$2:$F$1002
)
),0)</f>
        <v>0</v>
      </c>
      <c r="L5" s="14" cm="1">
        <f t="array" ref="L5">IFERROR(
SUM(
IF(
(GIRIS_CIKIS!$B$2:$B$1002="GIRIS")*
(GIRIS_CIKIS!$C$2:$C$1002=$A5)*
(GIRIS_CIKIS!$D$2:$D$1002=$B5)*
(GIRIS_CIKIS!$E$2:$E$1002="GRI"),
GIRIS_CIKIS!$F$2:$F$1002
)
)
-
SUM(
IF(
(GIRIS_CIKIS!$B$2:$B$1002="CIKIS")*
(GIRIS_CIKIS!$C$2:$C$1002=$A5)*
(GIRIS_CIKIS!$D$2:$D$1002=$B5)*
(GIRIS_CIKIS!$E$2:$E$1002="GRI"),
GIRIS_CIKIS!$F$2:$F$1002
)
),0)</f>
        <v>0</v>
      </c>
      <c r="M5" s="32" cm="1">
        <f t="array" ref="M5">IFERROR(
SUM(
IF(
(GIRIS_CIKIS!$B$2:$B$1002="GIRIS")*
(GIRIS_CIKIS!$C$2:$C$1002=$A5)*
(GIRIS_CIKIS!$D$2:$D$1002=$B5)*
(GIRIS_CIKIS!$E$2:$E$1002="TURKUAZ"),
GIRIS_CIKIS!$F$2:$F$1002
)
)
-
SUM(
IF(
(GIRIS_CIKIS!$B$2:$B$1002="CIKIS")*
(GIRIS_CIKIS!$C$2:$C$1002=$A5)*
(GIRIS_CIKIS!$D$2:$D$1002=$B5)*
(GIRIS_CIKIS!$E$2:$E$1002="TURKUAZ"),
GIRIS_CIKIS!$F$2:$F$1002
)
),0)</f>
        <v>0</v>
      </c>
      <c r="N5" s="34" cm="1">
        <f t="array" ref="N5">IFERROR(
SUM(
IF(
(GIRIS_CIKIS!$B$2:$B$1002="GIRIS")*
(GIRIS_CIKIS!$C$2:$C$1002=$A5)*
(GIRIS_CIKIS!$D$2:$D$1002=$B5)*
(GIRIS_CIKIS!$E$2:$E$1002="SIYAH"),
GIRIS_CIKIS!$F$2:$F$1002
)
)
-
SUM(
IF(
(GIRIS_CIKIS!$B$2:$B$1002="CIKIS")*
(GIRIS_CIKIS!$C$2:$C$1002=$A5)*
(GIRIS_CIKIS!$D$2:$D$1002=$B5)*
(GIRIS_CIKIS!$E$2:$E$1002="SIYAH"),
GIRIS_CIKIS!$F$2:$F$1002
)
),0)</f>
        <v>0</v>
      </c>
      <c r="O5" s="36" cm="1">
        <f t="array" ref="O5">IFERROR(
SUM(
IF(
(GIRIS_CIKIS!$B$2:$B$1002="GIRIS")*
(GIRIS_CIKIS!$C$2:$C$1002=$A5)*
(GIRIS_CIKIS!$D$2:$D$1002=$B5)*
(GIRIS_CIKIS!$E$2:$E$1002="MAVI"),
GIRIS_CIKIS!$F$2:$F$1002
)
)
-
SUM(
IF(
(GIRIS_CIKIS!$B$2:$B$1002="CIKIS")*
(GIRIS_CIKIS!$C$2:$C$1002=$A5)*
(GIRIS_CIKIS!$D$2:$D$1002=$B5)*
(GIRIS_CIKIS!$E$2:$E$1002="MAVI"),
GIRIS_CIKIS!$F$2:$F$1002
)
),0)</f>
        <v>0</v>
      </c>
      <c r="P5" s="12">
        <f>SUM(C5:O5)</f>
        <v>11</v>
      </c>
      <c r="Q5" s="37" t="s">
        <v>51</v>
      </c>
    </row>
    <row r="6" spans="1:17" x14ac:dyDescent="0.25">
      <c r="A6" s="2" t="s">
        <v>41</v>
      </c>
      <c r="B6" s="10" t="s">
        <v>12</v>
      </c>
      <c r="C6" s="14" cm="1">
        <f t="array" ref="C6">IFERROR(
SUM(
IF(
(GIRIS_CIKIS!$B$2:$B$1002="GIRIS")*
(GIRIS_CIKIS!$C$2:$C$1002=$A6)*
(GIRIS_CIKIS!$D$2:$D$1002=$B6)*
(GIRIS_CIKIS!$E$2:$E$1002="DALDIRMA"),
GIRIS_CIKIS!$F$2:$F$1002
)
)
-
SUM(
IF(
(GIRIS_CIKIS!$B$2:$B$1002="CIKIS")*
(GIRIS_CIKIS!$C$2:$C$1002=$A6)*
(GIRIS_CIKIS!$D$2:$D$1002=$B6)*
(GIRIS_CIKIS!$E$2:$E$1002="DALDIRMA"),
GIRIS_CIKIS!$F$2:$F$1002
)
),0)</f>
        <v>0</v>
      </c>
      <c r="D6" s="16" cm="1">
        <f t="array" ref="D6">IFERROR(
SUM(
IF(
(GIRIS_CIKIS!$B$2:$B$1002="GIRIS")*
(GIRIS_CIKIS!$C$2:$C$1002=$A6)*
(GIRIS_CIKIS!$D$2:$D$1002=$B6)*
(GIRIS_CIKIS!$E$2:$E$1002="YESIL"),
GIRIS_CIKIS!$F$2:$F$1002
)
)
-
SUM(
IF(
(GIRIS_CIKIS!$B$2:$B$1002="CIKIS")*
(GIRIS_CIKIS!$C$2:$C$1002=$A6)*
(GIRIS_CIKIS!$D$2:$D$1002=$B6)*
(GIRIS_CIKIS!$E$2:$E$1002="YESIL"),
GIRIS_CIKIS!$F$2:$F$1002
)
),0)</f>
        <v>6</v>
      </c>
      <c r="E6" s="18" cm="1">
        <f t="array" ref="E6">IFERROR(
SUM(
IF(
(GIRIS_CIKIS!$B$2:$B$1002="GIRIS")*
(GIRIS_CIKIS!$C$2:$C$1002=$A6)*
(GIRIS_CIKIS!$D$2:$D$1002=$B6)*
(GIRIS_CIKIS!$E$2:$E$1002="MOR"),
GIRIS_CIKIS!$F$2:$F$1002
)
)
-
SUM(
IF(
(GIRIS_CIKIS!$B$2:$B$1002="CIKIS")*
(GIRIS_CIKIS!$C$2:$C$1002=$A6)*
(GIRIS_CIKIS!$D$2:$D$1002=$B6)*
(GIRIS_CIKIS!$E$2:$E$1002="MOR"),
GIRIS_CIKIS!$F$2:$F$1002
)
),0)</f>
        <v>7</v>
      </c>
      <c r="F6" s="20" cm="1">
        <f t="array" ref="F6">IFERROR(
SUM(
IF(
(GIRIS_CIKIS!$B$2:$B$1002="GIRIS")*
(GIRIS_CIKIS!$C$2:$C$1002=$A6)*
(GIRIS_CIKIS!$D$2:$D$1002=$B6)*
(GIRIS_CIKIS!$E$2:$E$1002="ACIK SARI"),
GIRIS_CIKIS!$F$2:$F$1002
)
)
-
SUM(
IF(
(GIRIS_CIKIS!$B$2:$B$1002="CIKIS")*
(GIRIS_CIKIS!$C$2:$C$1002=$A6)*
(GIRIS_CIKIS!$D$2:$D$1002=$B6)*
(GIRIS_CIKIS!$E$2:$E$1002="ACIK SARI"),
GIRIS_CIKIS!$F$2:$F$1002
)
),0)</f>
        <v>2</v>
      </c>
      <c r="G6" s="22" cm="1">
        <f t="array" ref="G6">IFERROR(
SUM(
IF(
(GIRIS_CIKIS!$B$2:$B$1002="GIRIS")*
(GIRIS_CIKIS!$C$2:$C$1002=$A6)*
(GIRIS_CIKIS!$D$2:$D$1002=$B6)*
(GIRIS_CIKIS!$E$2:$E$1002="SARI"),
GIRIS_CIKIS!$F$2:$F$1002
)
)
-
SUM(
IF(
(GIRIS_CIKIS!$B$2:$B$1002="CIKIS")*
(GIRIS_CIKIS!$C$2:$C$1002=$A6)*
(GIRIS_CIKIS!$D$2:$D$1002=$B6)*
(GIRIS_CIKIS!$E$2:$E$1002="SARI"),
GIRIS_CIKIS!$F$2:$F$1002
)
),0)</f>
        <v>4</v>
      </c>
      <c r="H6" s="26" cm="1">
        <f t="array" ref="H6">IFERROR(
SUM(
IF(
(GIRIS_CIKIS!$B$2:$B$1002="GIRIS")*
(GIRIS_CIKIS!$C$2:$C$1002=$A6)*
(GIRIS_CIKIS!$D$2:$D$1002=$B6)*
(GIRIS_CIKIS!$E$2:$E$1002="TURUNCU"),
GIRIS_CIKIS!$F$2:$F$1002
)
)
-
SUM(
IF(
(GIRIS_CIKIS!$B$2:$B$1002="CIKIS")*
(GIRIS_CIKIS!$C$2:$C$1002=$A6)*
(GIRIS_CIKIS!$D$2:$D$1002=$B6)*
(GIRIS_CIKIS!$E$2:$E$1002="TURUNCU"),
GIRIS_CIKIS!$F$2:$F$1002
)
),0)</f>
        <v>2</v>
      </c>
      <c r="I6" s="24" cm="1">
        <f t="array" ref="I6">IFERROR(
SUM(
IF(
(GIRIS_CIKIS!$B$2:$B$1002="GIRIS")*
(GIRIS_CIKIS!$C$2:$C$1002=$A6)*
(GIRIS_CIKIS!$D$2:$D$1002=$B6)*
(GIRIS_CIKIS!$E$2:$E$1002="KIRMIZI"),
GIRIS_CIKIS!$F$2:$F$1002
)
)
-
SUM(
IF(
(GIRIS_CIKIS!$B$2:$B$1002="CIKIS")*
(GIRIS_CIKIS!$C$2:$C$1002=$A6)*
(GIRIS_CIKIS!$D$2:$D$1002=$B6)*
(GIRIS_CIKIS!$E$2:$E$1002="KIRMIZI"),
GIRIS_CIKIS!$F$2:$F$1002
)
),0)</f>
        <v>0</v>
      </c>
      <c r="J6" s="28" cm="1">
        <f t="array" ref="J6">IFERROR(
SUM(
IF(
(GIRIS_CIKIS!$B$2:$B$1002="GIRIS")*
(GIRIS_CIKIS!$C$2:$C$1002=$A6)*
(GIRIS_CIKIS!$D$2:$D$1002=$B6)*
(GIRIS_CIKIS!$E$2:$E$1002="KAHVERENGI"),
GIRIS_CIKIS!$F$2:$F$1002
)
)
-
SUM(
IF(
(GIRIS_CIKIS!$B$2:$B$1002="CIKIS")*
(GIRIS_CIKIS!$C$2:$C$1002=$A6)*
(GIRIS_CIKIS!$D$2:$D$1002=$B6)*
(GIRIS_CIKIS!$E$2:$E$1002="KAHVERENGI"),
GIRIS_CIKIS!$F$2:$F$1002
)
),0)</f>
        <v>0</v>
      </c>
      <c r="K6" s="30" cm="1">
        <f t="array" ref="K6">IFERROR(
SUM(
IF(
(GIRIS_CIKIS!$B$2:$B$1002="GIRIS")*
(GIRIS_CIKIS!$C$2:$C$1002=$A6)*
(GIRIS_CIKIS!$D$2:$D$1002=$B6)*
(GIRIS_CIKIS!$E$2:$E$1002="ACIK MOR"),
GIRIS_CIKIS!$F$2:$F$1002
)
)
-
SUM(
IF(
(GIRIS_CIKIS!$B$2:$B$1002="CIKIS")*
(GIRIS_CIKIS!$C$2:$C$1002=$A6)*
(GIRIS_CIKIS!$D$2:$D$1002=$B6)*
(GIRIS_CIKIS!$E$2:$E$1002="ACIK MOR"),
GIRIS_CIKIS!$F$2:$F$1002
)
),0)</f>
        <v>2</v>
      </c>
      <c r="L6" s="14" cm="1">
        <f t="array" ref="L6">IFERROR(
SUM(
IF(
(GIRIS_CIKIS!$B$2:$B$1002="GIRIS")*
(GIRIS_CIKIS!$C$2:$C$1002=$A6)*
(GIRIS_CIKIS!$D$2:$D$1002=$B6)*
(GIRIS_CIKIS!$E$2:$E$1002="GRI"),
GIRIS_CIKIS!$F$2:$F$1002
)
)
-
SUM(
IF(
(GIRIS_CIKIS!$B$2:$B$1002="CIKIS")*
(GIRIS_CIKIS!$C$2:$C$1002=$A6)*
(GIRIS_CIKIS!$D$2:$D$1002=$B6)*
(GIRIS_CIKIS!$E$2:$E$1002="GRI"),
GIRIS_CIKIS!$F$2:$F$1002
)
),0)</f>
        <v>0</v>
      </c>
      <c r="M6" s="32" cm="1">
        <f t="array" ref="M6">IFERROR(
SUM(
IF(
(GIRIS_CIKIS!$B$2:$B$1002="GIRIS")*
(GIRIS_CIKIS!$C$2:$C$1002=$A6)*
(GIRIS_CIKIS!$D$2:$D$1002=$B6)*
(GIRIS_CIKIS!$E$2:$E$1002="TURKUAZ"),
GIRIS_CIKIS!$F$2:$F$1002
)
)
-
SUM(
IF(
(GIRIS_CIKIS!$B$2:$B$1002="CIKIS")*
(GIRIS_CIKIS!$C$2:$C$1002=$A6)*
(GIRIS_CIKIS!$D$2:$D$1002=$B6)*
(GIRIS_CIKIS!$E$2:$E$1002="TURKUAZ"),
GIRIS_CIKIS!$F$2:$F$1002
)
),0)</f>
        <v>0</v>
      </c>
      <c r="N6" s="34" cm="1">
        <f t="array" ref="N6">IFERROR(
SUM(
IF(
(GIRIS_CIKIS!$B$2:$B$1002="GIRIS")*
(GIRIS_CIKIS!$C$2:$C$1002=$A6)*
(GIRIS_CIKIS!$D$2:$D$1002=$B6)*
(GIRIS_CIKIS!$E$2:$E$1002="SIYAH"),
GIRIS_CIKIS!$F$2:$F$1002
)
)
-
SUM(
IF(
(GIRIS_CIKIS!$B$2:$B$1002="CIKIS")*
(GIRIS_CIKIS!$C$2:$C$1002=$A6)*
(GIRIS_CIKIS!$D$2:$D$1002=$B6)*
(GIRIS_CIKIS!$E$2:$E$1002="SIYAH"),
GIRIS_CIKIS!$F$2:$F$1002
)
),0)</f>
        <v>0</v>
      </c>
      <c r="O6" s="36" cm="1">
        <f t="array" ref="O6">IFERROR(
SUM(
IF(
(GIRIS_CIKIS!$B$2:$B$1002="GIRIS")*
(GIRIS_CIKIS!$C$2:$C$1002=$A6)*
(GIRIS_CIKIS!$D$2:$D$1002=$B6)*
(GIRIS_CIKIS!$E$2:$E$1002="MAVI"),
GIRIS_CIKIS!$F$2:$F$1002
)
)
-
SUM(
IF(
(GIRIS_CIKIS!$B$2:$B$1002="CIKIS")*
(GIRIS_CIKIS!$C$2:$C$1002=$A6)*
(GIRIS_CIKIS!$D$2:$D$1002=$B6)*
(GIRIS_CIKIS!$E$2:$E$1002="MAVI"),
GIRIS_CIKIS!$F$2:$F$1002
)
),0)</f>
        <v>0</v>
      </c>
      <c r="P6" s="12">
        <f>SUM(C6:O6)</f>
        <v>23</v>
      </c>
      <c r="Q6" s="37" t="s">
        <v>51</v>
      </c>
    </row>
    <row r="7" spans="1:17" x14ac:dyDescent="0.25">
      <c r="A7" s="2" t="s">
        <v>40</v>
      </c>
      <c r="B7" s="10" t="s">
        <v>42</v>
      </c>
      <c r="C7" s="14" cm="1">
        <f t="array" ref="C7">IFERROR(
SUM(
IF(
(GIRIS_CIKIS!$B$2:$B$1002="GIRIS")*
(GIRIS_CIKIS!$C$2:$C$1002=$A7)*
(GIRIS_CIKIS!$D$2:$D$1002=$B7)*
(GIRIS_CIKIS!$E$2:$E$1002="DALDIRMA"),
GIRIS_CIKIS!$F$2:$F$1002
)
)
-
SUM(
IF(
(GIRIS_CIKIS!$B$2:$B$1002="CIKIS")*
(GIRIS_CIKIS!$C$2:$C$1002=$A7)*
(GIRIS_CIKIS!$D$2:$D$1002=$B7)*
(GIRIS_CIKIS!$E$2:$E$1002="DALDIRMA"),
GIRIS_CIKIS!$F$2:$F$1002
)
),0)</f>
        <v>0</v>
      </c>
      <c r="D7" s="16" cm="1">
        <f t="array" ref="D7">IFERROR(
SUM(
IF(
(GIRIS_CIKIS!$B$2:$B$1002="GIRIS")*
(GIRIS_CIKIS!$C$2:$C$1002=$A7)*
(GIRIS_CIKIS!$D$2:$D$1002=$B7)*
(GIRIS_CIKIS!$E$2:$E$1002="YESIL"),
GIRIS_CIKIS!$F$2:$F$1002
)
)
-
SUM(
IF(
(GIRIS_CIKIS!$B$2:$B$1002="CIKIS")*
(GIRIS_CIKIS!$C$2:$C$1002=$A7)*
(GIRIS_CIKIS!$D$2:$D$1002=$B7)*
(GIRIS_CIKIS!$E$2:$E$1002="YESIL"),
GIRIS_CIKIS!$F$2:$F$1002
)
),0)</f>
        <v>1</v>
      </c>
      <c r="E7" s="18" cm="1">
        <f t="array" ref="E7">IFERROR(
SUM(
IF(
(GIRIS_CIKIS!$B$2:$B$1002="GIRIS")*
(GIRIS_CIKIS!$C$2:$C$1002=$A7)*
(GIRIS_CIKIS!$D$2:$D$1002=$B7)*
(GIRIS_CIKIS!$E$2:$E$1002="MOR"),
GIRIS_CIKIS!$F$2:$F$1002
)
)
-
SUM(
IF(
(GIRIS_CIKIS!$B$2:$B$1002="CIKIS")*
(GIRIS_CIKIS!$C$2:$C$1002=$A7)*
(GIRIS_CIKIS!$D$2:$D$1002=$B7)*
(GIRIS_CIKIS!$E$2:$E$1002="MOR"),
GIRIS_CIKIS!$F$2:$F$1002
)
),0)</f>
        <v>4</v>
      </c>
      <c r="F7" s="20" cm="1">
        <f t="array" ref="F7">IFERROR(
SUM(
IF(
(GIRIS_CIKIS!$B$2:$B$1002="GIRIS")*
(GIRIS_CIKIS!$C$2:$C$1002=$A7)*
(GIRIS_CIKIS!$D$2:$D$1002=$B7)*
(GIRIS_CIKIS!$E$2:$E$1002="ACIK SARI"),
GIRIS_CIKIS!$F$2:$F$1002
)
)
-
SUM(
IF(
(GIRIS_CIKIS!$B$2:$B$1002="CIKIS")*
(GIRIS_CIKIS!$C$2:$C$1002=$A7)*
(GIRIS_CIKIS!$D$2:$D$1002=$B7)*
(GIRIS_CIKIS!$E$2:$E$1002="ACIK SARI"),
GIRIS_CIKIS!$F$2:$F$1002
)
),0)</f>
        <v>0</v>
      </c>
      <c r="G7" s="22" cm="1">
        <f t="array" ref="G7">IFERROR(
SUM(
IF(
(GIRIS_CIKIS!$B$2:$B$1002="GIRIS")*
(GIRIS_CIKIS!$C$2:$C$1002=$A7)*
(GIRIS_CIKIS!$D$2:$D$1002=$B7)*
(GIRIS_CIKIS!$E$2:$E$1002="SARI"),
GIRIS_CIKIS!$F$2:$F$1002
)
)
-
SUM(
IF(
(GIRIS_CIKIS!$B$2:$B$1002="CIKIS")*
(GIRIS_CIKIS!$C$2:$C$1002=$A7)*
(GIRIS_CIKIS!$D$2:$D$1002=$B7)*
(GIRIS_CIKIS!$E$2:$E$1002="SARI"),
GIRIS_CIKIS!$F$2:$F$1002
)
),0)</f>
        <v>2</v>
      </c>
      <c r="H7" s="26" cm="1">
        <f t="array" ref="H7">IFERROR(
SUM(
IF(
(GIRIS_CIKIS!$B$2:$B$1002="GIRIS")*
(GIRIS_CIKIS!$C$2:$C$1002=$A7)*
(GIRIS_CIKIS!$D$2:$D$1002=$B7)*
(GIRIS_CIKIS!$E$2:$E$1002="TURUNCU"),
GIRIS_CIKIS!$F$2:$F$1002
)
)
-
SUM(
IF(
(GIRIS_CIKIS!$B$2:$B$1002="CIKIS")*
(GIRIS_CIKIS!$C$2:$C$1002=$A7)*
(GIRIS_CIKIS!$D$2:$D$1002=$B7)*
(GIRIS_CIKIS!$E$2:$E$1002="TURUNCU"),
GIRIS_CIKIS!$F$2:$F$1002
)
),0)</f>
        <v>2</v>
      </c>
      <c r="I7" s="24" cm="1">
        <f t="array" ref="I7">IFERROR(
SUM(
IF(
(GIRIS_CIKIS!$B$2:$B$1002="GIRIS")*
(GIRIS_CIKIS!$C$2:$C$1002=$A7)*
(GIRIS_CIKIS!$D$2:$D$1002=$B7)*
(GIRIS_CIKIS!$E$2:$E$1002="KIRMIZI"),
GIRIS_CIKIS!$F$2:$F$1002
)
)
-
SUM(
IF(
(GIRIS_CIKIS!$B$2:$B$1002="CIKIS")*
(GIRIS_CIKIS!$C$2:$C$1002=$A7)*
(GIRIS_CIKIS!$D$2:$D$1002=$B7)*
(GIRIS_CIKIS!$E$2:$E$1002="KIRMIZI"),
GIRIS_CIKIS!$F$2:$F$1002
)
),0)</f>
        <v>0</v>
      </c>
      <c r="J7" s="28" cm="1">
        <f t="array" ref="J7">IFERROR(
SUM(
IF(
(GIRIS_CIKIS!$B$2:$B$1002="GIRIS")*
(GIRIS_CIKIS!$C$2:$C$1002=$A7)*
(GIRIS_CIKIS!$D$2:$D$1002=$B7)*
(GIRIS_CIKIS!$E$2:$E$1002="KAHVERENGI"),
GIRIS_CIKIS!$F$2:$F$1002
)
)
-
SUM(
IF(
(GIRIS_CIKIS!$B$2:$B$1002="CIKIS")*
(GIRIS_CIKIS!$C$2:$C$1002=$A7)*
(GIRIS_CIKIS!$D$2:$D$1002=$B7)*
(GIRIS_CIKIS!$E$2:$E$1002="KAHVERENGI"),
GIRIS_CIKIS!$F$2:$F$1002
)
),0)</f>
        <v>0</v>
      </c>
      <c r="K7" s="30" cm="1">
        <f t="array" ref="K7">IFERROR(
SUM(
IF(
(GIRIS_CIKIS!$B$2:$B$1002="GIRIS")*
(GIRIS_CIKIS!$C$2:$C$1002=$A7)*
(GIRIS_CIKIS!$D$2:$D$1002=$B7)*
(GIRIS_CIKIS!$E$2:$E$1002="ACIK MOR"),
GIRIS_CIKIS!$F$2:$F$1002
)
)
-
SUM(
IF(
(GIRIS_CIKIS!$B$2:$B$1002="CIKIS")*
(GIRIS_CIKIS!$C$2:$C$1002=$A7)*
(GIRIS_CIKIS!$D$2:$D$1002=$B7)*
(GIRIS_CIKIS!$E$2:$E$1002="ACIK MOR"),
GIRIS_CIKIS!$F$2:$F$1002
)
),0)</f>
        <v>0</v>
      </c>
      <c r="L7" s="14" cm="1">
        <f t="array" ref="L7">IFERROR(
SUM(
IF(
(GIRIS_CIKIS!$B$2:$B$1002="GIRIS")*
(GIRIS_CIKIS!$C$2:$C$1002=$A7)*
(GIRIS_CIKIS!$D$2:$D$1002=$B7)*
(GIRIS_CIKIS!$E$2:$E$1002="GRI"),
GIRIS_CIKIS!$F$2:$F$1002
)
)
-
SUM(
IF(
(GIRIS_CIKIS!$B$2:$B$1002="CIKIS")*
(GIRIS_CIKIS!$C$2:$C$1002=$A7)*
(GIRIS_CIKIS!$D$2:$D$1002=$B7)*
(GIRIS_CIKIS!$E$2:$E$1002="GRI"),
GIRIS_CIKIS!$F$2:$F$1002
)
),0)</f>
        <v>0</v>
      </c>
      <c r="M7" s="32" cm="1">
        <f t="array" ref="M7">IFERROR(
SUM(
IF(
(GIRIS_CIKIS!$B$2:$B$1002="GIRIS")*
(GIRIS_CIKIS!$C$2:$C$1002=$A7)*
(GIRIS_CIKIS!$D$2:$D$1002=$B7)*
(GIRIS_CIKIS!$E$2:$E$1002="TURKUAZ"),
GIRIS_CIKIS!$F$2:$F$1002
)
)
-
SUM(
IF(
(GIRIS_CIKIS!$B$2:$B$1002="CIKIS")*
(GIRIS_CIKIS!$C$2:$C$1002=$A7)*
(GIRIS_CIKIS!$D$2:$D$1002=$B7)*
(GIRIS_CIKIS!$E$2:$E$1002="TURKUAZ"),
GIRIS_CIKIS!$F$2:$F$1002
)
),0)</f>
        <v>0</v>
      </c>
      <c r="N7" s="34" cm="1">
        <f t="array" ref="N7">IFERROR(
SUM(
IF(
(GIRIS_CIKIS!$B$2:$B$1002="GIRIS")*
(GIRIS_CIKIS!$C$2:$C$1002=$A7)*
(GIRIS_CIKIS!$D$2:$D$1002=$B7)*
(GIRIS_CIKIS!$E$2:$E$1002="SIYAH"),
GIRIS_CIKIS!$F$2:$F$1002
)
)
-
SUM(
IF(
(GIRIS_CIKIS!$B$2:$B$1002="CIKIS")*
(GIRIS_CIKIS!$C$2:$C$1002=$A7)*
(GIRIS_CIKIS!$D$2:$D$1002=$B7)*
(GIRIS_CIKIS!$E$2:$E$1002="SIYAH"),
GIRIS_CIKIS!$F$2:$F$1002
)
),0)</f>
        <v>0</v>
      </c>
      <c r="O7" s="36" cm="1">
        <f t="array" ref="O7">IFERROR(
SUM(
IF(
(GIRIS_CIKIS!$B$2:$B$1002="GIRIS")*
(GIRIS_CIKIS!$C$2:$C$1002=$A7)*
(GIRIS_CIKIS!$D$2:$D$1002=$B7)*
(GIRIS_CIKIS!$E$2:$E$1002="MAVI"),
GIRIS_CIKIS!$F$2:$F$1002
)
)
-
SUM(
IF(
(GIRIS_CIKIS!$B$2:$B$1002="CIKIS")*
(GIRIS_CIKIS!$C$2:$C$1002=$A7)*
(GIRIS_CIKIS!$D$2:$D$1002=$B7)*
(GIRIS_CIKIS!$E$2:$E$1002="MAVI"),
GIRIS_CIKIS!$F$2:$F$1002
)
),0)</f>
        <v>0</v>
      </c>
      <c r="P7" s="12">
        <f>SUM(C7:O7)</f>
        <v>9</v>
      </c>
      <c r="Q7" s="37" t="s">
        <v>51</v>
      </c>
    </row>
    <row r="8" spans="1:17" x14ac:dyDescent="0.25">
      <c r="A8" s="2" t="s">
        <v>40</v>
      </c>
      <c r="B8" s="10" t="s">
        <v>43</v>
      </c>
      <c r="C8" s="14" cm="1">
        <f t="array" ref="C8">IFERROR(
SUM(
IF(
(GIRIS_CIKIS!$B$2:$B$1002="GIRIS")*
(GIRIS_CIKIS!$C$2:$C$1002=$A8)*
(GIRIS_CIKIS!$D$2:$D$1002=$B8)*
(GIRIS_CIKIS!$E$2:$E$1002="DALDIRMA"),
GIRIS_CIKIS!$F$2:$F$1002
)
)
-
SUM(
IF(
(GIRIS_CIKIS!$B$2:$B$1002="CIKIS")*
(GIRIS_CIKIS!$C$2:$C$1002=$A8)*
(GIRIS_CIKIS!$D$2:$D$1002=$B8)*
(GIRIS_CIKIS!$E$2:$E$1002="DALDIRMA"),
GIRIS_CIKIS!$F$2:$F$1002
)
),0)</f>
        <v>0</v>
      </c>
      <c r="D8" s="16" cm="1">
        <f t="array" ref="D8">IFERROR(
SUM(
IF(
(GIRIS_CIKIS!$B$2:$B$1002="GIRIS")*
(GIRIS_CIKIS!$C$2:$C$1002=$A8)*
(GIRIS_CIKIS!$D$2:$D$1002=$B8)*
(GIRIS_CIKIS!$E$2:$E$1002="YESIL"),
GIRIS_CIKIS!$F$2:$F$1002
)
)
-
SUM(
IF(
(GIRIS_CIKIS!$B$2:$B$1002="CIKIS")*
(GIRIS_CIKIS!$C$2:$C$1002=$A8)*
(GIRIS_CIKIS!$D$2:$D$1002=$B8)*
(GIRIS_CIKIS!$E$2:$E$1002="YESIL"),
GIRIS_CIKIS!$F$2:$F$1002
)
),0)</f>
        <v>7</v>
      </c>
      <c r="E8" s="18" cm="1">
        <f t="array" ref="E8">IFERROR(
SUM(
IF(
(GIRIS_CIKIS!$B$2:$B$1002="GIRIS")*
(GIRIS_CIKIS!$C$2:$C$1002=$A8)*
(GIRIS_CIKIS!$D$2:$D$1002=$B8)*
(GIRIS_CIKIS!$E$2:$E$1002="MOR"),
GIRIS_CIKIS!$F$2:$F$1002
)
)
-
SUM(
IF(
(GIRIS_CIKIS!$B$2:$B$1002="CIKIS")*
(GIRIS_CIKIS!$C$2:$C$1002=$A8)*
(GIRIS_CIKIS!$D$2:$D$1002=$B8)*
(GIRIS_CIKIS!$E$2:$E$1002="MOR"),
GIRIS_CIKIS!$F$2:$F$1002
)
),0)</f>
        <v>1</v>
      </c>
      <c r="F8" s="20" cm="1">
        <f t="array" ref="F8">IFERROR(
SUM(
IF(
(GIRIS_CIKIS!$B$2:$B$1002="GIRIS")*
(GIRIS_CIKIS!$C$2:$C$1002=$A8)*
(GIRIS_CIKIS!$D$2:$D$1002=$B8)*
(GIRIS_CIKIS!$E$2:$E$1002="ACIK SARI"),
GIRIS_CIKIS!$F$2:$F$1002
)
)
-
SUM(
IF(
(GIRIS_CIKIS!$B$2:$B$1002="CIKIS")*
(GIRIS_CIKIS!$C$2:$C$1002=$A8)*
(GIRIS_CIKIS!$D$2:$D$1002=$B8)*
(GIRIS_CIKIS!$E$2:$E$1002="ACIK SARI"),
GIRIS_CIKIS!$F$2:$F$1002
)
),0)</f>
        <v>0</v>
      </c>
      <c r="G8" s="22" cm="1">
        <f t="array" ref="G8">IFERROR(
SUM(
IF(
(GIRIS_CIKIS!$B$2:$B$1002="GIRIS")*
(GIRIS_CIKIS!$C$2:$C$1002=$A8)*
(GIRIS_CIKIS!$D$2:$D$1002=$B8)*
(GIRIS_CIKIS!$E$2:$E$1002="SARI"),
GIRIS_CIKIS!$F$2:$F$1002
)
)
-
SUM(
IF(
(GIRIS_CIKIS!$B$2:$B$1002="CIKIS")*
(GIRIS_CIKIS!$C$2:$C$1002=$A8)*
(GIRIS_CIKIS!$D$2:$D$1002=$B8)*
(GIRIS_CIKIS!$E$2:$E$1002="SARI"),
GIRIS_CIKIS!$F$2:$F$1002
)
),0)</f>
        <v>3</v>
      </c>
      <c r="H8" s="26" cm="1">
        <f t="array" ref="H8">IFERROR(
SUM(
IF(
(GIRIS_CIKIS!$B$2:$B$1002="GIRIS")*
(GIRIS_CIKIS!$C$2:$C$1002=$A8)*
(GIRIS_CIKIS!$D$2:$D$1002=$B8)*
(GIRIS_CIKIS!$E$2:$E$1002="TURUNCU"),
GIRIS_CIKIS!$F$2:$F$1002
)
)
-
SUM(
IF(
(GIRIS_CIKIS!$B$2:$B$1002="CIKIS")*
(GIRIS_CIKIS!$C$2:$C$1002=$A8)*
(GIRIS_CIKIS!$D$2:$D$1002=$B8)*
(GIRIS_CIKIS!$E$2:$E$1002="TURUNCU"),
GIRIS_CIKIS!$F$2:$F$1002
)
),0)</f>
        <v>1</v>
      </c>
      <c r="I8" s="24" cm="1">
        <f t="array" ref="I8">IFERROR(
SUM(
IF(
(GIRIS_CIKIS!$B$2:$B$1002="GIRIS")*
(GIRIS_CIKIS!$C$2:$C$1002=$A8)*
(GIRIS_CIKIS!$D$2:$D$1002=$B8)*
(GIRIS_CIKIS!$E$2:$E$1002="KIRMIZI"),
GIRIS_CIKIS!$F$2:$F$1002
)
)
-
SUM(
IF(
(GIRIS_CIKIS!$B$2:$B$1002="CIKIS")*
(GIRIS_CIKIS!$C$2:$C$1002=$A8)*
(GIRIS_CIKIS!$D$2:$D$1002=$B8)*
(GIRIS_CIKIS!$E$2:$E$1002="KIRMIZI"),
GIRIS_CIKIS!$F$2:$F$1002
)
),0)</f>
        <v>0</v>
      </c>
      <c r="J8" s="28" cm="1">
        <f t="array" ref="J8">IFERROR(
SUM(
IF(
(GIRIS_CIKIS!$B$2:$B$1002="GIRIS")*
(GIRIS_CIKIS!$C$2:$C$1002=$A8)*
(GIRIS_CIKIS!$D$2:$D$1002=$B8)*
(GIRIS_CIKIS!$E$2:$E$1002="KAHVERENGI"),
GIRIS_CIKIS!$F$2:$F$1002
)
)
-
SUM(
IF(
(GIRIS_CIKIS!$B$2:$B$1002="CIKIS")*
(GIRIS_CIKIS!$C$2:$C$1002=$A8)*
(GIRIS_CIKIS!$D$2:$D$1002=$B8)*
(GIRIS_CIKIS!$E$2:$E$1002="KAHVERENGI"),
GIRIS_CIKIS!$F$2:$F$1002
)
),0)</f>
        <v>0</v>
      </c>
      <c r="K8" s="30" cm="1">
        <f t="array" ref="K8">IFERROR(
SUM(
IF(
(GIRIS_CIKIS!$B$2:$B$1002="GIRIS")*
(GIRIS_CIKIS!$C$2:$C$1002=$A8)*
(GIRIS_CIKIS!$D$2:$D$1002=$B8)*
(GIRIS_CIKIS!$E$2:$E$1002="ACIK MOR"),
GIRIS_CIKIS!$F$2:$F$1002
)
)
-
SUM(
IF(
(GIRIS_CIKIS!$B$2:$B$1002="CIKIS")*
(GIRIS_CIKIS!$C$2:$C$1002=$A8)*
(GIRIS_CIKIS!$D$2:$D$1002=$B8)*
(GIRIS_CIKIS!$E$2:$E$1002="ACIK MOR"),
GIRIS_CIKIS!$F$2:$F$1002
)
),0)</f>
        <v>0</v>
      </c>
      <c r="L8" s="14" cm="1">
        <f t="array" ref="L8">IFERROR(
SUM(
IF(
(GIRIS_CIKIS!$B$2:$B$1002="GIRIS")*
(GIRIS_CIKIS!$C$2:$C$1002=$A8)*
(GIRIS_CIKIS!$D$2:$D$1002=$B8)*
(GIRIS_CIKIS!$E$2:$E$1002="GRI"),
GIRIS_CIKIS!$F$2:$F$1002
)
)
-
SUM(
IF(
(GIRIS_CIKIS!$B$2:$B$1002="CIKIS")*
(GIRIS_CIKIS!$C$2:$C$1002=$A8)*
(GIRIS_CIKIS!$D$2:$D$1002=$B8)*
(GIRIS_CIKIS!$E$2:$E$1002="GRI"),
GIRIS_CIKIS!$F$2:$F$1002
)
),0)</f>
        <v>0</v>
      </c>
      <c r="M8" s="32" cm="1">
        <f t="array" ref="M8">IFERROR(
SUM(
IF(
(GIRIS_CIKIS!$B$2:$B$1002="GIRIS")*
(GIRIS_CIKIS!$C$2:$C$1002=$A8)*
(GIRIS_CIKIS!$D$2:$D$1002=$B8)*
(GIRIS_CIKIS!$E$2:$E$1002="TURKUAZ"),
GIRIS_CIKIS!$F$2:$F$1002
)
)
-
SUM(
IF(
(GIRIS_CIKIS!$B$2:$B$1002="CIKIS")*
(GIRIS_CIKIS!$C$2:$C$1002=$A8)*
(GIRIS_CIKIS!$D$2:$D$1002=$B8)*
(GIRIS_CIKIS!$E$2:$E$1002="TURKUAZ"),
GIRIS_CIKIS!$F$2:$F$1002
)
),0)</f>
        <v>0</v>
      </c>
      <c r="N8" s="34" cm="1">
        <f t="array" ref="N8">IFERROR(
SUM(
IF(
(GIRIS_CIKIS!$B$2:$B$1002="GIRIS")*
(GIRIS_CIKIS!$C$2:$C$1002=$A8)*
(GIRIS_CIKIS!$D$2:$D$1002=$B8)*
(GIRIS_CIKIS!$E$2:$E$1002="SIYAH"),
GIRIS_CIKIS!$F$2:$F$1002
)
)
-
SUM(
IF(
(GIRIS_CIKIS!$B$2:$B$1002="CIKIS")*
(GIRIS_CIKIS!$C$2:$C$1002=$A8)*
(GIRIS_CIKIS!$D$2:$D$1002=$B8)*
(GIRIS_CIKIS!$E$2:$E$1002="SIYAH"),
GIRIS_CIKIS!$F$2:$F$1002
)
),0)</f>
        <v>0</v>
      </c>
      <c r="O8" s="36" cm="1">
        <f t="array" ref="O8">IFERROR(
SUM(
IF(
(GIRIS_CIKIS!$B$2:$B$1002="GIRIS")*
(GIRIS_CIKIS!$C$2:$C$1002=$A8)*
(GIRIS_CIKIS!$D$2:$D$1002=$B8)*
(GIRIS_CIKIS!$E$2:$E$1002="MAVI"),
GIRIS_CIKIS!$F$2:$F$1002
)
)
-
SUM(
IF(
(GIRIS_CIKIS!$B$2:$B$1002="CIKIS")*
(GIRIS_CIKIS!$C$2:$C$1002=$A8)*
(GIRIS_CIKIS!$D$2:$D$1002=$B8)*
(GIRIS_CIKIS!$E$2:$E$1002="MAVI"),
GIRIS_CIKIS!$F$2:$F$1002
)
),0)</f>
        <v>0</v>
      </c>
      <c r="P8" s="12">
        <f>SUM(C8:O8)</f>
        <v>12</v>
      </c>
      <c r="Q8" s="37" t="s">
        <v>51</v>
      </c>
    </row>
    <row r="9" spans="1:17" x14ac:dyDescent="0.25">
      <c r="A9" s="2" t="s">
        <v>30</v>
      </c>
      <c r="B9" s="10" t="s">
        <v>13</v>
      </c>
      <c r="C9" s="14" cm="1">
        <f t="array" ref="C9">IFERROR(
SUM(
IF(
(GIRIS_CIKIS!$B$2:$B$1002="GIRIS")*
(GIRIS_CIKIS!$C$2:$C$1002=$A9)*
(GIRIS_CIKIS!$D$2:$D$1002=$B9)*
(GIRIS_CIKIS!$E$2:$E$1002="DALDIRMA"),
GIRIS_CIKIS!$F$2:$F$1002
)
)
-
SUM(
IF(
(GIRIS_CIKIS!$B$2:$B$1002="CIKIS")*
(GIRIS_CIKIS!$C$2:$C$1002=$A9)*
(GIRIS_CIKIS!$D$2:$D$1002=$B9)*
(GIRIS_CIKIS!$E$2:$E$1002="DALDIRMA"),
GIRIS_CIKIS!$F$2:$F$1002
)
),0)</f>
        <v>0</v>
      </c>
      <c r="D9" s="16" cm="1">
        <f t="array" ref="D9">IFERROR(
SUM(
IF(
(GIRIS_CIKIS!$B$2:$B$1002="GIRIS")*
(GIRIS_CIKIS!$C$2:$C$1002=$A9)*
(GIRIS_CIKIS!$D$2:$D$1002=$B9)*
(GIRIS_CIKIS!$E$2:$E$1002="YESIL"),
GIRIS_CIKIS!$F$2:$F$1002
)
)
-
SUM(
IF(
(GIRIS_CIKIS!$B$2:$B$1002="CIKIS")*
(GIRIS_CIKIS!$C$2:$C$1002=$A9)*
(GIRIS_CIKIS!$D$2:$D$1002=$B9)*
(GIRIS_CIKIS!$E$2:$E$1002="YESIL"),
GIRIS_CIKIS!$F$2:$F$1002
)
),0)</f>
        <v>0</v>
      </c>
      <c r="E9" s="18" cm="1">
        <f t="array" ref="E9">IFERROR(
SUM(
IF(
(GIRIS_CIKIS!$B$2:$B$1002="GIRIS")*
(GIRIS_CIKIS!$C$2:$C$1002=$A9)*
(GIRIS_CIKIS!$D$2:$D$1002=$B9)*
(GIRIS_CIKIS!$E$2:$E$1002="MOR"),
GIRIS_CIKIS!$F$2:$F$1002
)
)
-
SUM(
IF(
(GIRIS_CIKIS!$B$2:$B$1002="CIKIS")*
(GIRIS_CIKIS!$C$2:$C$1002=$A9)*
(GIRIS_CIKIS!$D$2:$D$1002=$B9)*
(GIRIS_CIKIS!$E$2:$E$1002="MOR"),
GIRIS_CIKIS!$F$2:$F$1002
)
),0)</f>
        <v>1</v>
      </c>
      <c r="F9" s="20" cm="1">
        <f t="array" ref="F9">IFERROR(
SUM(
IF(
(GIRIS_CIKIS!$B$2:$B$1002="GIRIS")*
(GIRIS_CIKIS!$C$2:$C$1002=$A9)*
(GIRIS_CIKIS!$D$2:$D$1002=$B9)*
(GIRIS_CIKIS!$E$2:$E$1002="ACIK SARI"),
GIRIS_CIKIS!$F$2:$F$1002
)
)
-
SUM(
IF(
(GIRIS_CIKIS!$B$2:$B$1002="CIKIS")*
(GIRIS_CIKIS!$C$2:$C$1002=$A9)*
(GIRIS_CIKIS!$D$2:$D$1002=$B9)*
(GIRIS_CIKIS!$E$2:$E$1002="ACIK SARI"),
GIRIS_CIKIS!$F$2:$F$1002
)
),0)</f>
        <v>0</v>
      </c>
      <c r="G9" s="22" cm="1">
        <f t="array" ref="G9">IFERROR(
SUM(
IF(
(GIRIS_CIKIS!$B$2:$B$1002="GIRIS")*
(GIRIS_CIKIS!$C$2:$C$1002=$A9)*
(GIRIS_CIKIS!$D$2:$D$1002=$B9)*
(GIRIS_CIKIS!$E$2:$E$1002="SARI"),
GIRIS_CIKIS!$F$2:$F$1002
)
)
-
SUM(
IF(
(GIRIS_CIKIS!$B$2:$B$1002="CIKIS")*
(GIRIS_CIKIS!$C$2:$C$1002=$A9)*
(GIRIS_CIKIS!$D$2:$D$1002=$B9)*
(GIRIS_CIKIS!$E$2:$E$1002="SARI"),
GIRIS_CIKIS!$F$2:$F$1002
)
),0)</f>
        <v>4</v>
      </c>
      <c r="H9" s="26" cm="1">
        <f t="array" ref="H9">IFERROR(
SUM(
IF(
(GIRIS_CIKIS!$B$2:$B$1002="GIRIS")*
(GIRIS_CIKIS!$C$2:$C$1002=$A9)*
(GIRIS_CIKIS!$D$2:$D$1002=$B9)*
(GIRIS_CIKIS!$E$2:$E$1002="TURUNCU"),
GIRIS_CIKIS!$F$2:$F$1002
)
)
-
SUM(
IF(
(GIRIS_CIKIS!$B$2:$B$1002="CIKIS")*
(GIRIS_CIKIS!$C$2:$C$1002=$A9)*
(GIRIS_CIKIS!$D$2:$D$1002=$B9)*
(GIRIS_CIKIS!$E$2:$E$1002="TURUNCU"),
GIRIS_CIKIS!$F$2:$F$1002
)
),0)</f>
        <v>0</v>
      </c>
      <c r="I9" s="24" cm="1">
        <f t="array" ref="I9">IFERROR(
SUM(
IF(
(GIRIS_CIKIS!$B$2:$B$1002="GIRIS")*
(GIRIS_CIKIS!$C$2:$C$1002=$A9)*
(GIRIS_CIKIS!$D$2:$D$1002=$B9)*
(GIRIS_CIKIS!$E$2:$E$1002="KIRMIZI"),
GIRIS_CIKIS!$F$2:$F$1002
)
)
-
SUM(
IF(
(GIRIS_CIKIS!$B$2:$B$1002="CIKIS")*
(GIRIS_CIKIS!$C$2:$C$1002=$A9)*
(GIRIS_CIKIS!$D$2:$D$1002=$B9)*
(GIRIS_CIKIS!$E$2:$E$1002="KIRMIZI"),
GIRIS_CIKIS!$F$2:$F$1002
)
),0)</f>
        <v>0</v>
      </c>
      <c r="J9" s="28" cm="1">
        <f t="array" ref="J9">IFERROR(
SUM(
IF(
(GIRIS_CIKIS!$B$2:$B$1002="GIRIS")*
(GIRIS_CIKIS!$C$2:$C$1002=$A9)*
(GIRIS_CIKIS!$D$2:$D$1002=$B9)*
(GIRIS_CIKIS!$E$2:$E$1002="KAHVERENGI"),
GIRIS_CIKIS!$F$2:$F$1002
)
)
-
SUM(
IF(
(GIRIS_CIKIS!$B$2:$B$1002="CIKIS")*
(GIRIS_CIKIS!$C$2:$C$1002=$A9)*
(GIRIS_CIKIS!$D$2:$D$1002=$B9)*
(GIRIS_CIKIS!$E$2:$E$1002="KAHVERENGI"),
GIRIS_CIKIS!$F$2:$F$1002
)
),0)</f>
        <v>0</v>
      </c>
      <c r="K9" s="30" cm="1">
        <f t="array" ref="K9">IFERROR(
SUM(
IF(
(GIRIS_CIKIS!$B$2:$B$1002="GIRIS")*
(GIRIS_CIKIS!$C$2:$C$1002=$A9)*
(GIRIS_CIKIS!$D$2:$D$1002=$B9)*
(GIRIS_CIKIS!$E$2:$E$1002="ACIK MOR"),
GIRIS_CIKIS!$F$2:$F$1002
)
)
-
SUM(
IF(
(GIRIS_CIKIS!$B$2:$B$1002="CIKIS")*
(GIRIS_CIKIS!$C$2:$C$1002=$A9)*
(GIRIS_CIKIS!$D$2:$D$1002=$B9)*
(GIRIS_CIKIS!$E$2:$E$1002="ACIK MOR"),
GIRIS_CIKIS!$F$2:$F$1002
)
),0)</f>
        <v>0</v>
      </c>
      <c r="L9" s="14" cm="1">
        <f t="array" ref="L9">IFERROR(
SUM(
IF(
(GIRIS_CIKIS!$B$2:$B$1002="GIRIS")*
(GIRIS_CIKIS!$C$2:$C$1002=$A9)*
(GIRIS_CIKIS!$D$2:$D$1002=$B9)*
(GIRIS_CIKIS!$E$2:$E$1002="GRI"),
GIRIS_CIKIS!$F$2:$F$1002
)
)
-
SUM(
IF(
(GIRIS_CIKIS!$B$2:$B$1002="CIKIS")*
(GIRIS_CIKIS!$C$2:$C$1002=$A9)*
(GIRIS_CIKIS!$D$2:$D$1002=$B9)*
(GIRIS_CIKIS!$E$2:$E$1002="GRI"),
GIRIS_CIKIS!$F$2:$F$1002
)
),0)</f>
        <v>0</v>
      </c>
      <c r="M9" s="32" cm="1">
        <f t="array" ref="M9">IFERROR(
SUM(
IF(
(GIRIS_CIKIS!$B$2:$B$1002="GIRIS")*
(GIRIS_CIKIS!$C$2:$C$1002=$A9)*
(GIRIS_CIKIS!$D$2:$D$1002=$B9)*
(GIRIS_CIKIS!$E$2:$E$1002="TURKUAZ"),
GIRIS_CIKIS!$F$2:$F$1002
)
)
-
SUM(
IF(
(GIRIS_CIKIS!$B$2:$B$1002="CIKIS")*
(GIRIS_CIKIS!$C$2:$C$1002=$A9)*
(GIRIS_CIKIS!$D$2:$D$1002=$B9)*
(GIRIS_CIKIS!$E$2:$E$1002="TURKUAZ"),
GIRIS_CIKIS!$F$2:$F$1002
)
),0)</f>
        <v>0</v>
      </c>
      <c r="N9" s="34" cm="1">
        <f t="array" ref="N9">IFERROR(
SUM(
IF(
(GIRIS_CIKIS!$B$2:$B$1002="GIRIS")*
(GIRIS_CIKIS!$C$2:$C$1002=$A9)*
(GIRIS_CIKIS!$D$2:$D$1002=$B9)*
(GIRIS_CIKIS!$E$2:$E$1002="SIYAH"),
GIRIS_CIKIS!$F$2:$F$1002
)
)
-
SUM(
IF(
(GIRIS_CIKIS!$B$2:$B$1002="CIKIS")*
(GIRIS_CIKIS!$C$2:$C$1002=$A9)*
(GIRIS_CIKIS!$D$2:$D$1002=$B9)*
(GIRIS_CIKIS!$E$2:$E$1002="SIYAH"),
GIRIS_CIKIS!$F$2:$F$1002
)
),0)</f>
        <v>0</v>
      </c>
      <c r="O9" s="36" cm="1">
        <f t="array" ref="O9">IFERROR(
SUM(
IF(
(GIRIS_CIKIS!$B$2:$B$1002="GIRIS")*
(GIRIS_CIKIS!$C$2:$C$1002=$A9)*
(GIRIS_CIKIS!$D$2:$D$1002=$B9)*
(GIRIS_CIKIS!$E$2:$E$1002="MAVI"),
GIRIS_CIKIS!$F$2:$F$1002
)
)
-
SUM(
IF(
(GIRIS_CIKIS!$B$2:$B$1002="CIKIS")*
(GIRIS_CIKIS!$C$2:$C$1002=$A9)*
(GIRIS_CIKIS!$D$2:$D$1002=$B9)*
(GIRIS_CIKIS!$E$2:$E$1002="MAVI"),
GIRIS_CIKIS!$F$2:$F$1002
)
),0)</f>
        <v>0</v>
      </c>
      <c r="P9" s="12">
        <f>SUM(C9:O9)</f>
        <v>5</v>
      </c>
      <c r="Q9" s="37" t="s">
        <v>51</v>
      </c>
    </row>
    <row r="10" spans="1:17" x14ac:dyDescent="0.25">
      <c r="A10" s="2" t="s">
        <v>34</v>
      </c>
      <c r="B10" s="10" t="s">
        <v>13</v>
      </c>
      <c r="C10" s="14" cm="1">
        <f t="array" ref="C10">IFERROR(
SUM(
IF(
(GIRIS_CIKIS!$B$2:$B$1002="GIRIS")*
(GIRIS_CIKIS!$C$2:$C$1002=$A10)*
(GIRIS_CIKIS!$D$2:$D$1002=$B10)*
(GIRIS_CIKIS!$E$2:$E$1002="DALDIRMA"),
GIRIS_CIKIS!$F$2:$F$1002
)
)
-
SUM(
IF(
(GIRIS_CIKIS!$B$2:$B$1002="CIKIS")*
(GIRIS_CIKIS!$C$2:$C$1002=$A10)*
(GIRIS_CIKIS!$D$2:$D$1002=$B10)*
(GIRIS_CIKIS!$E$2:$E$1002="DALDIRMA"),
GIRIS_CIKIS!$F$2:$F$1002
)
),0)</f>
        <v>0</v>
      </c>
      <c r="D10" s="16" cm="1">
        <f t="array" ref="D10">IFERROR(
SUM(
IF(
(GIRIS_CIKIS!$B$2:$B$1002="GIRIS")*
(GIRIS_CIKIS!$C$2:$C$1002=$A10)*
(GIRIS_CIKIS!$D$2:$D$1002=$B10)*
(GIRIS_CIKIS!$E$2:$E$1002="YESIL"),
GIRIS_CIKIS!$F$2:$F$1002
)
)
-
SUM(
IF(
(GIRIS_CIKIS!$B$2:$B$1002="CIKIS")*
(GIRIS_CIKIS!$C$2:$C$1002=$A10)*
(GIRIS_CIKIS!$D$2:$D$1002=$B10)*
(GIRIS_CIKIS!$E$2:$E$1002="YESIL"),
GIRIS_CIKIS!$F$2:$F$1002
)
),0)</f>
        <v>4</v>
      </c>
      <c r="E10" s="18" cm="1">
        <f t="array" ref="E10">IFERROR(
SUM(
IF(
(GIRIS_CIKIS!$B$2:$B$1002="GIRIS")*
(GIRIS_CIKIS!$C$2:$C$1002=$A10)*
(GIRIS_CIKIS!$D$2:$D$1002=$B10)*
(GIRIS_CIKIS!$E$2:$E$1002="MOR"),
GIRIS_CIKIS!$F$2:$F$1002
)
)
-
SUM(
IF(
(GIRIS_CIKIS!$B$2:$B$1002="CIKIS")*
(GIRIS_CIKIS!$C$2:$C$1002=$A10)*
(GIRIS_CIKIS!$D$2:$D$1002=$B10)*
(GIRIS_CIKIS!$E$2:$E$1002="MOR"),
GIRIS_CIKIS!$F$2:$F$1002
)
),0)</f>
        <v>0</v>
      </c>
      <c r="F10" s="20" cm="1">
        <f t="array" ref="F10">IFERROR(
SUM(
IF(
(GIRIS_CIKIS!$B$2:$B$1002="GIRIS")*
(GIRIS_CIKIS!$C$2:$C$1002=$A10)*
(GIRIS_CIKIS!$D$2:$D$1002=$B10)*
(GIRIS_CIKIS!$E$2:$E$1002="ACIK SARI"),
GIRIS_CIKIS!$F$2:$F$1002
)
)
-
SUM(
IF(
(GIRIS_CIKIS!$B$2:$B$1002="CIKIS")*
(GIRIS_CIKIS!$C$2:$C$1002=$A10)*
(GIRIS_CIKIS!$D$2:$D$1002=$B10)*
(GIRIS_CIKIS!$E$2:$E$1002="ACIK SARI"),
GIRIS_CIKIS!$F$2:$F$1002
)
),0)</f>
        <v>0</v>
      </c>
      <c r="G10" s="22" cm="1">
        <f t="array" ref="G10">IFERROR(
SUM(
IF(
(GIRIS_CIKIS!$B$2:$B$1002="GIRIS")*
(GIRIS_CIKIS!$C$2:$C$1002=$A10)*
(GIRIS_CIKIS!$D$2:$D$1002=$B10)*
(GIRIS_CIKIS!$E$2:$E$1002="SARI"),
GIRIS_CIKIS!$F$2:$F$1002
)
)
-
SUM(
IF(
(GIRIS_CIKIS!$B$2:$B$1002="CIKIS")*
(GIRIS_CIKIS!$C$2:$C$1002=$A10)*
(GIRIS_CIKIS!$D$2:$D$1002=$B10)*
(GIRIS_CIKIS!$E$2:$E$1002="SARI"),
GIRIS_CIKIS!$F$2:$F$1002
)
),0)</f>
        <v>3</v>
      </c>
      <c r="H10" s="26" cm="1">
        <f t="array" ref="H10">IFERROR(
SUM(
IF(
(GIRIS_CIKIS!$B$2:$B$1002="GIRIS")*
(GIRIS_CIKIS!$C$2:$C$1002=$A10)*
(GIRIS_CIKIS!$D$2:$D$1002=$B10)*
(GIRIS_CIKIS!$E$2:$E$1002="TURUNCU"),
GIRIS_CIKIS!$F$2:$F$1002
)
)
-
SUM(
IF(
(GIRIS_CIKIS!$B$2:$B$1002="CIKIS")*
(GIRIS_CIKIS!$C$2:$C$1002=$A10)*
(GIRIS_CIKIS!$D$2:$D$1002=$B10)*
(GIRIS_CIKIS!$E$2:$E$1002="TURUNCU"),
GIRIS_CIKIS!$F$2:$F$1002
)
),0)</f>
        <v>3</v>
      </c>
      <c r="I10" s="24" cm="1">
        <f t="array" ref="I10">IFERROR(
SUM(
IF(
(GIRIS_CIKIS!$B$2:$B$1002="GIRIS")*
(GIRIS_CIKIS!$C$2:$C$1002=$A10)*
(GIRIS_CIKIS!$D$2:$D$1002=$B10)*
(GIRIS_CIKIS!$E$2:$E$1002="KIRMIZI"),
GIRIS_CIKIS!$F$2:$F$1002
)
)
-
SUM(
IF(
(GIRIS_CIKIS!$B$2:$B$1002="CIKIS")*
(GIRIS_CIKIS!$C$2:$C$1002=$A10)*
(GIRIS_CIKIS!$D$2:$D$1002=$B10)*
(GIRIS_CIKIS!$E$2:$E$1002="KIRMIZI"),
GIRIS_CIKIS!$F$2:$F$1002
)
),0)</f>
        <v>0</v>
      </c>
      <c r="J10" s="28" cm="1">
        <f t="array" ref="J10">IFERROR(
SUM(
IF(
(GIRIS_CIKIS!$B$2:$B$1002="GIRIS")*
(GIRIS_CIKIS!$C$2:$C$1002=$A10)*
(GIRIS_CIKIS!$D$2:$D$1002=$B10)*
(GIRIS_CIKIS!$E$2:$E$1002="KAHVERENGI"),
GIRIS_CIKIS!$F$2:$F$1002
)
)
-
SUM(
IF(
(GIRIS_CIKIS!$B$2:$B$1002="CIKIS")*
(GIRIS_CIKIS!$C$2:$C$1002=$A10)*
(GIRIS_CIKIS!$D$2:$D$1002=$B10)*
(GIRIS_CIKIS!$E$2:$E$1002="KAHVERENGI"),
GIRIS_CIKIS!$F$2:$F$1002
)
),0)</f>
        <v>0</v>
      </c>
      <c r="K10" s="30" cm="1">
        <f t="array" ref="K10">IFERROR(
SUM(
IF(
(GIRIS_CIKIS!$B$2:$B$1002="GIRIS")*
(GIRIS_CIKIS!$C$2:$C$1002=$A10)*
(GIRIS_CIKIS!$D$2:$D$1002=$B10)*
(GIRIS_CIKIS!$E$2:$E$1002="ACIK MOR"),
GIRIS_CIKIS!$F$2:$F$1002
)
)
-
SUM(
IF(
(GIRIS_CIKIS!$B$2:$B$1002="CIKIS")*
(GIRIS_CIKIS!$C$2:$C$1002=$A10)*
(GIRIS_CIKIS!$D$2:$D$1002=$B10)*
(GIRIS_CIKIS!$E$2:$E$1002="ACIK MOR"),
GIRIS_CIKIS!$F$2:$F$1002
)
),0)</f>
        <v>0</v>
      </c>
      <c r="L10" s="14" cm="1">
        <f t="array" ref="L10">IFERROR(
SUM(
IF(
(GIRIS_CIKIS!$B$2:$B$1002="GIRIS")*
(GIRIS_CIKIS!$C$2:$C$1002=$A10)*
(GIRIS_CIKIS!$D$2:$D$1002=$B10)*
(GIRIS_CIKIS!$E$2:$E$1002="GRI"),
GIRIS_CIKIS!$F$2:$F$1002
)
)
-
SUM(
IF(
(GIRIS_CIKIS!$B$2:$B$1002="CIKIS")*
(GIRIS_CIKIS!$C$2:$C$1002=$A10)*
(GIRIS_CIKIS!$D$2:$D$1002=$B10)*
(GIRIS_CIKIS!$E$2:$E$1002="GRI"),
GIRIS_CIKIS!$F$2:$F$1002
)
),0)</f>
        <v>0</v>
      </c>
      <c r="M10" s="32" cm="1">
        <f t="array" ref="M10">IFERROR(
SUM(
IF(
(GIRIS_CIKIS!$B$2:$B$1002="GIRIS")*
(GIRIS_CIKIS!$C$2:$C$1002=$A10)*
(GIRIS_CIKIS!$D$2:$D$1002=$B10)*
(GIRIS_CIKIS!$E$2:$E$1002="TURKUAZ"),
GIRIS_CIKIS!$F$2:$F$1002
)
)
-
SUM(
IF(
(GIRIS_CIKIS!$B$2:$B$1002="CIKIS")*
(GIRIS_CIKIS!$C$2:$C$1002=$A10)*
(GIRIS_CIKIS!$D$2:$D$1002=$B10)*
(GIRIS_CIKIS!$E$2:$E$1002="TURKUAZ"),
GIRIS_CIKIS!$F$2:$F$1002
)
),0)</f>
        <v>0</v>
      </c>
      <c r="N10" s="34" cm="1">
        <f t="array" ref="N10">IFERROR(
SUM(
IF(
(GIRIS_CIKIS!$B$2:$B$1002="GIRIS")*
(GIRIS_CIKIS!$C$2:$C$1002=$A10)*
(GIRIS_CIKIS!$D$2:$D$1002=$B10)*
(GIRIS_CIKIS!$E$2:$E$1002="SIYAH"),
GIRIS_CIKIS!$F$2:$F$1002
)
)
-
SUM(
IF(
(GIRIS_CIKIS!$B$2:$B$1002="CIKIS")*
(GIRIS_CIKIS!$C$2:$C$1002=$A10)*
(GIRIS_CIKIS!$D$2:$D$1002=$B10)*
(GIRIS_CIKIS!$E$2:$E$1002="SIYAH"),
GIRIS_CIKIS!$F$2:$F$1002
)
),0)</f>
        <v>0</v>
      </c>
      <c r="O10" s="36" cm="1">
        <f t="array" ref="O10">IFERROR(
SUM(
IF(
(GIRIS_CIKIS!$B$2:$B$1002="GIRIS")*
(GIRIS_CIKIS!$C$2:$C$1002=$A10)*
(GIRIS_CIKIS!$D$2:$D$1002=$B10)*
(GIRIS_CIKIS!$E$2:$E$1002="MAVI"),
GIRIS_CIKIS!$F$2:$F$1002
)
)
-
SUM(
IF(
(GIRIS_CIKIS!$B$2:$B$1002="CIKIS")*
(GIRIS_CIKIS!$C$2:$C$1002=$A10)*
(GIRIS_CIKIS!$D$2:$D$1002=$B10)*
(GIRIS_CIKIS!$E$2:$E$1002="MAVI"),
GIRIS_CIKIS!$F$2:$F$1002
)
),0)</f>
        <v>0</v>
      </c>
      <c r="P10" s="12">
        <f>SUM(C10:O10)</f>
        <v>10</v>
      </c>
      <c r="Q10" s="37" t="s">
        <v>51</v>
      </c>
    </row>
    <row r="11" spans="1:17" x14ac:dyDescent="0.25">
      <c r="A11" s="2" t="s">
        <v>40</v>
      </c>
      <c r="B11" s="10" t="s">
        <v>14</v>
      </c>
      <c r="C11" s="14" cm="1">
        <f t="array" ref="C11">IFERROR(
SUM(
IF(
(GIRIS_CIKIS!$B$2:$B$1002="GIRIS")*
(GIRIS_CIKIS!$C$2:$C$1002=$A11)*
(GIRIS_CIKIS!$D$2:$D$1002=$B11)*
(GIRIS_CIKIS!$E$2:$E$1002="DALDIRMA"),
GIRIS_CIKIS!$F$2:$F$1002
)
)
-
SUM(
IF(
(GIRIS_CIKIS!$B$2:$B$1002="CIKIS")*
(GIRIS_CIKIS!$C$2:$C$1002=$A11)*
(GIRIS_CIKIS!$D$2:$D$1002=$B11)*
(GIRIS_CIKIS!$E$2:$E$1002="DALDIRMA"),
GIRIS_CIKIS!$F$2:$F$1002
)
),0)</f>
        <v>0</v>
      </c>
      <c r="D11" s="16" cm="1">
        <f t="array" ref="D11">IFERROR(
SUM(
IF(
(GIRIS_CIKIS!$B$2:$B$1002="GIRIS")*
(GIRIS_CIKIS!$C$2:$C$1002=$A11)*
(GIRIS_CIKIS!$D$2:$D$1002=$B11)*
(GIRIS_CIKIS!$E$2:$E$1002="YESIL"),
GIRIS_CIKIS!$F$2:$F$1002
)
)
-
SUM(
IF(
(GIRIS_CIKIS!$B$2:$B$1002="CIKIS")*
(GIRIS_CIKIS!$C$2:$C$1002=$A11)*
(GIRIS_CIKIS!$D$2:$D$1002=$B11)*
(GIRIS_CIKIS!$E$2:$E$1002="YESIL"),
GIRIS_CIKIS!$F$2:$F$1002
)
),0)</f>
        <v>3</v>
      </c>
      <c r="E11" s="18" cm="1">
        <f t="array" ref="E11">IFERROR(
SUM(
IF(
(GIRIS_CIKIS!$B$2:$B$1002="GIRIS")*
(GIRIS_CIKIS!$C$2:$C$1002=$A11)*
(GIRIS_CIKIS!$D$2:$D$1002=$B11)*
(GIRIS_CIKIS!$E$2:$E$1002="MOR"),
GIRIS_CIKIS!$F$2:$F$1002
)
)
-
SUM(
IF(
(GIRIS_CIKIS!$B$2:$B$1002="CIKIS")*
(GIRIS_CIKIS!$C$2:$C$1002=$A11)*
(GIRIS_CIKIS!$D$2:$D$1002=$B11)*
(GIRIS_CIKIS!$E$2:$E$1002="MOR"),
GIRIS_CIKIS!$F$2:$F$1002
)
),0)</f>
        <v>3</v>
      </c>
      <c r="F11" s="20" cm="1">
        <f t="array" ref="F11">IFERROR(
SUM(
IF(
(GIRIS_CIKIS!$B$2:$B$1002="GIRIS")*
(GIRIS_CIKIS!$C$2:$C$1002=$A11)*
(GIRIS_CIKIS!$D$2:$D$1002=$B11)*
(GIRIS_CIKIS!$E$2:$E$1002="ACIK SARI"),
GIRIS_CIKIS!$F$2:$F$1002
)
)
-
SUM(
IF(
(GIRIS_CIKIS!$B$2:$B$1002="CIKIS")*
(GIRIS_CIKIS!$C$2:$C$1002=$A11)*
(GIRIS_CIKIS!$D$2:$D$1002=$B11)*
(GIRIS_CIKIS!$E$2:$E$1002="ACIK SARI"),
GIRIS_CIKIS!$F$2:$F$1002
)
),0)</f>
        <v>0</v>
      </c>
      <c r="G11" s="22" cm="1">
        <f t="array" ref="G11">IFERROR(
SUM(
IF(
(GIRIS_CIKIS!$B$2:$B$1002="GIRIS")*
(GIRIS_CIKIS!$C$2:$C$1002=$A11)*
(GIRIS_CIKIS!$D$2:$D$1002=$B11)*
(GIRIS_CIKIS!$E$2:$E$1002="SARI"),
GIRIS_CIKIS!$F$2:$F$1002
)
)
-
SUM(
IF(
(GIRIS_CIKIS!$B$2:$B$1002="CIKIS")*
(GIRIS_CIKIS!$C$2:$C$1002=$A11)*
(GIRIS_CIKIS!$D$2:$D$1002=$B11)*
(GIRIS_CIKIS!$E$2:$E$1002="SARI"),
GIRIS_CIKIS!$F$2:$F$1002
)
),0)</f>
        <v>5</v>
      </c>
      <c r="H11" s="26" cm="1">
        <f t="array" ref="H11">IFERROR(
SUM(
IF(
(GIRIS_CIKIS!$B$2:$B$1002="GIRIS")*
(GIRIS_CIKIS!$C$2:$C$1002=$A11)*
(GIRIS_CIKIS!$D$2:$D$1002=$B11)*
(GIRIS_CIKIS!$E$2:$E$1002="TURUNCU"),
GIRIS_CIKIS!$F$2:$F$1002
)
)
-
SUM(
IF(
(GIRIS_CIKIS!$B$2:$B$1002="CIKIS")*
(GIRIS_CIKIS!$C$2:$C$1002=$A11)*
(GIRIS_CIKIS!$D$2:$D$1002=$B11)*
(GIRIS_CIKIS!$E$2:$E$1002="TURUNCU"),
GIRIS_CIKIS!$F$2:$F$1002
)
),0)</f>
        <v>1</v>
      </c>
      <c r="I11" s="24" cm="1">
        <f t="array" ref="I11">IFERROR(
SUM(
IF(
(GIRIS_CIKIS!$B$2:$B$1002="GIRIS")*
(GIRIS_CIKIS!$C$2:$C$1002=$A11)*
(GIRIS_CIKIS!$D$2:$D$1002=$B11)*
(GIRIS_CIKIS!$E$2:$E$1002="KIRMIZI"),
GIRIS_CIKIS!$F$2:$F$1002
)
)
-
SUM(
IF(
(GIRIS_CIKIS!$B$2:$B$1002="CIKIS")*
(GIRIS_CIKIS!$C$2:$C$1002=$A11)*
(GIRIS_CIKIS!$D$2:$D$1002=$B11)*
(GIRIS_CIKIS!$E$2:$E$1002="KIRMIZI"),
GIRIS_CIKIS!$F$2:$F$1002
)
),0)</f>
        <v>0</v>
      </c>
      <c r="J11" s="28" cm="1">
        <f t="array" ref="J11">IFERROR(
SUM(
IF(
(GIRIS_CIKIS!$B$2:$B$1002="GIRIS")*
(GIRIS_CIKIS!$C$2:$C$1002=$A11)*
(GIRIS_CIKIS!$D$2:$D$1002=$B11)*
(GIRIS_CIKIS!$E$2:$E$1002="KAHVERENGI"),
GIRIS_CIKIS!$F$2:$F$1002
)
)
-
SUM(
IF(
(GIRIS_CIKIS!$B$2:$B$1002="CIKIS")*
(GIRIS_CIKIS!$C$2:$C$1002=$A11)*
(GIRIS_CIKIS!$D$2:$D$1002=$B11)*
(GIRIS_CIKIS!$E$2:$E$1002="KAHVERENGI"),
GIRIS_CIKIS!$F$2:$F$1002
)
),0)</f>
        <v>0</v>
      </c>
      <c r="K11" s="30" cm="1">
        <f t="array" ref="K11">IFERROR(
SUM(
IF(
(GIRIS_CIKIS!$B$2:$B$1002="GIRIS")*
(GIRIS_CIKIS!$C$2:$C$1002=$A11)*
(GIRIS_CIKIS!$D$2:$D$1002=$B11)*
(GIRIS_CIKIS!$E$2:$E$1002="ACIK MOR"),
GIRIS_CIKIS!$F$2:$F$1002
)
)
-
SUM(
IF(
(GIRIS_CIKIS!$B$2:$B$1002="CIKIS")*
(GIRIS_CIKIS!$C$2:$C$1002=$A11)*
(GIRIS_CIKIS!$D$2:$D$1002=$B11)*
(GIRIS_CIKIS!$E$2:$E$1002="ACIK MOR"),
GIRIS_CIKIS!$F$2:$F$1002
)
),0)</f>
        <v>0</v>
      </c>
      <c r="L11" s="14" cm="1">
        <f t="array" ref="L11">IFERROR(
SUM(
IF(
(GIRIS_CIKIS!$B$2:$B$1002="GIRIS")*
(GIRIS_CIKIS!$C$2:$C$1002=$A11)*
(GIRIS_CIKIS!$D$2:$D$1002=$B11)*
(GIRIS_CIKIS!$E$2:$E$1002="GRI"),
GIRIS_CIKIS!$F$2:$F$1002
)
)
-
SUM(
IF(
(GIRIS_CIKIS!$B$2:$B$1002="CIKIS")*
(GIRIS_CIKIS!$C$2:$C$1002=$A11)*
(GIRIS_CIKIS!$D$2:$D$1002=$B11)*
(GIRIS_CIKIS!$E$2:$E$1002="GRI"),
GIRIS_CIKIS!$F$2:$F$1002
)
),0)</f>
        <v>0</v>
      </c>
      <c r="M11" s="32" cm="1">
        <f t="array" ref="M11">IFERROR(
SUM(
IF(
(GIRIS_CIKIS!$B$2:$B$1002="GIRIS")*
(GIRIS_CIKIS!$C$2:$C$1002=$A11)*
(GIRIS_CIKIS!$D$2:$D$1002=$B11)*
(GIRIS_CIKIS!$E$2:$E$1002="TURKUAZ"),
GIRIS_CIKIS!$F$2:$F$1002
)
)
-
SUM(
IF(
(GIRIS_CIKIS!$B$2:$B$1002="CIKIS")*
(GIRIS_CIKIS!$C$2:$C$1002=$A11)*
(GIRIS_CIKIS!$D$2:$D$1002=$B11)*
(GIRIS_CIKIS!$E$2:$E$1002="TURKUAZ"),
GIRIS_CIKIS!$F$2:$F$1002
)
),0)</f>
        <v>0</v>
      </c>
      <c r="N11" s="34" cm="1">
        <f t="array" ref="N11">IFERROR(
SUM(
IF(
(GIRIS_CIKIS!$B$2:$B$1002="GIRIS")*
(GIRIS_CIKIS!$C$2:$C$1002=$A11)*
(GIRIS_CIKIS!$D$2:$D$1002=$B11)*
(GIRIS_CIKIS!$E$2:$E$1002="SIYAH"),
GIRIS_CIKIS!$F$2:$F$1002
)
)
-
SUM(
IF(
(GIRIS_CIKIS!$B$2:$B$1002="CIKIS")*
(GIRIS_CIKIS!$C$2:$C$1002=$A11)*
(GIRIS_CIKIS!$D$2:$D$1002=$B11)*
(GIRIS_CIKIS!$E$2:$E$1002="SIYAH"),
GIRIS_CIKIS!$F$2:$F$1002
)
),0)</f>
        <v>0</v>
      </c>
      <c r="O11" s="36" cm="1">
        <f t="array" ref="O11">IFERROR(
SUM(
IF(
(GIRIS_CIKIS!$B$2:$B$1002="GIRIS")*
(GIRIS_CIKIS!$C$2:$C$1002=$A11)*
(GIRIS_CIKIS!$D$2:$D$1002=$B11)*
(GIRIS_CIKIS!$E$2:$E$1002="MAVI"),
GIRIS_CIKIS!$F$2:$F$1002
)
)
-
SUM(
IF(
(GIRIS_CIKIS!$B$2:$B$1002="CIKIS")*
(GIRIS_CIKIS!$C$2:$C$1002=$A11)*
(GIRIS_CIKIS!$D$2:$D$1002=$B11)*
(GIRIS_CIKIS!$E$2:$E$1002="MAVI"),
GIRIS_CIKIS!$F$2:$F$1002
)
),0)</f>
        <v>0</v>
      </c>
      <c r="P11" s="12">
        <f>SUM(C11:O11)</f>
        <v>12</v>
      </c>
      <c r="Q11" s="37" t="s">
        <v>51</v>
      </c>
    </row>
    <row r="12" spans="1:17" x14ac:dyDescent="0.25">
      <c r="A12" s="2" t="s">
        <v>34</v>
      </c>
      <c r="B12" s="10" t="s">
        <v>15</v>
      </c>
      <c r="C12" s="14" cm="1">
        <f t="array" ref="C12">IFERROR(
SUM(
IF(
(GIRIS_CIKIS!$B$2:$B$1002="GIRIS")*
(GIRIS_CIKIS!$C$2:$C$1002=$A12)*
(GIRIS_CIKIS!$D$2:$D$1002=$B12)*
(GIRIS_CIKIS!$E$2:$E$1002="DALDIRMA"),
GIRIS_CIKIS!$F$2:$F$1002
)
)
-
SUM(
IF(
(GIRIS_CIKIS!$B$2:$B$1002="CIKIS")*
(GIRIS_CIKIS!$C$2:$C$1002=$A12)*
(GIRIS_CIKIS!$D$2:$D$1002=$B12)*
(GIRIS_CIKIS!$E$2:$E$1002="DALDIRMA"),
GIRIS_CIKIS!$F$2:$F$1002
)
),0)</f>
        <v>0</v>
      </c>
      <c r="D12" s="16" cm="1">
        <f t="array" ref="D12">IFERROR(
SUM(
IF(
(GIRIS_CIKIS!$B$2:$B$1002="GIRIS")*
(GIRIS_CIKIS!$C$2:$C$1002=$A12)*
(GIRIS_CIKIS!$D$2:$D$1002=$B12)*
(GIRIS_CIKIS!$E$2:$E$1002="YESIL"),
GIRIS_CIKIS!$F$2:$F$1002
)
)
-
SUM(
IF(
(GIRIS_CIKIS!$B$2:$B$1002="CIKIS")*
(GIRIS_CIKIS!$C$2:$C$1002=$A12)*
(GIRIS_CIKIS!$D$2:$D$1002=$B12)*
(GIRIS_CIKIS!$E$2:$E$1002="YESIL"),
GIRIS_CIKIS!$F$2:$F$1002
)
),0)</f>
        <v>1</v>
      </c>
      <c r="E12" s="18" cm="1">
        <f t="array" ref="E12">IFERROR(
SUM(
IF(
(GIRIS_CIKIS!$B$2:$B$1002="GIRIS")*
(GIRIS_CIKIS!$C$2:$C$1002=$A12)*
(GIRIS_CIKIS!$D$2:$D$1002=$B12)*
(GIRIS_CIKIS!$E$2:$E$1002="MOR"),
GIRIS_CIKIS!$F$2:$F$1002
)
)
-
SUM(
IF(
(GIRIS_CIKIS!$B$2:$B$1002="CIKIS")*
(GIRIS_CIKIS!$C$2:$C$1002=$A12)*
(GIRIS_CIKIS!$D$2:$D$1002=$B12)*
(GIRIS_CIKIS!$E$2:$E$1002="MOR"),
GIRIS_CIKIS!$F$2:$F$1002
)
),0)</f>
        <v>0</v>
      </c>
      <c r="F12" s="20" cm="1">
        <f t="array" ref="F12">IFERROR(
SUM(
IF(
(GIRIS_CIKIS!$B$2:$B$1002="GIRIS")*
(GIRIS_CIKIS!$C$2:$C$1002=$A12)*
(GIRIS_CIKIS!$D$2:$D$1002=$B12)*
(GIRIS_CIKIS!$E$2:$E$1002="ACIK SARI"),
GIRIS_CIKIS!$F$2:$F$1002
)
)
-
SUM(
IF(
(GIRIS_CIKIS!$B$2:$B$1002="CIKIS")*
(GIRIS_CIKIS!$C$2:$C$1002=$A12)*
(GIRIS_CIKIS!$D$2:$D$1002=$B12)*
(GIRIS_CIKIS!$E$2:$E$1002="ACIK SARI"),
GIRIS_CIKIS!$F$2:$F$1002
)
),0)</f>
        <v>0</v>
      </c>
      <c r="G12" s="22" cm="1">
        <f t="array" ref="G12">IFERROR(
SUM(
IF(
(GIRIS_CIKIS!$B$2:$B$1002="GIRIS")*
(GIRIS_CIKIS!$C$2:$C$1002=$A12)*
(GIRIS_CIKIS!$D$2:$D$1002=$B12)*
(GIRIS_CIKIS!$E$2:$E$1002="SARI"),
GIRIS_CIKIS!$F$2:$F$1002
)
)
-
SUM(
IF(
(GIRIS_CIKIS!$B$2:$B$1002="CIKIS")*
(GIRIS_CIKIS!$C$2:$C$1002=$A12)*
(GIRIS_CIKIS!$D$2:$D$1002=$B12)*
(GIRIS_CIKIS!$E$2:$E$1002="SARI"),
GIRIS_CIKIS!$F$2:$F$1002
)
),0)</f>
        <v>8</v>
      </c>
      <c r="H12" s="26" cm="1">
        <f t="array" ref="H12">IFERROR(
SUM(
IF(
(GIRIS_CIKIS!$B$2:$B$1002="GIRIS")*
(GIRIS_CIKIS!$C$2:$C$1002=$A12)*
(GIRIS_CIKIS!$D$2:$D$1002=$B12)*
(GIRIS_CIKIS!$E$2:$E$1002="TURUNCU"),
GIRIS_CIKIS!$F$2:$F$1002
)
)
-
SUM(
IF(
(GIRIS_CIKIS!$B$2:$B$1002="CIKIS")*
(GIRIS_CIKIS!$C$2:$C$1002=$A12)*
(GIRIS_CIKIS!$D$2:$D$1002=$B12)*
(GIRIS_CIKIS!$E$2:$E$1002="TURUNCU"),
GIRIS_CIKIS!$F$2:$F$1002
)
),0)</f>
        <v>0</v>
      </c>
      <c r="I12" s="24" cm="1">
        <f t="array" ref="I12">IFERROR(
SUM(
IF(
(GIRIS_CIKIS!$B$2:$B$1002="GIRIS")*
(GIRIS_CIKIS!$C$2:$C$1002=$A12)*
(GIRIS_CIKIS!$D$2:$D$1002=$B12)*
(GIRIS_CIKIS!$E$2:$E$1002="KIRMIZI"),
GIRIS_CIKIS!$F$2:$F$1002
)
)
-
SUM(
IF(
(GIRIS_CIKIS!$B$2:$B$1002="CIKIS")*
(GIRIS_CIKIS!$C$2:$C$1002=$A12)*
(GIRIS_CIKIS!$D$2:$D$1002=$B12)*
(GIRIS_CIKIS!$E$2:$E$1002="KIRMIZI"),
GIRIS_CIKIS!$F$2:$F$1002
)
),0)</f>
        <v>0</v>
      </c>
      <c r="J12" s="28" cm="1">
        <f t="array" ref="J12">IFERROR(
SUM(
IF(
(GIRIS_CIKIS!$B$2:$B$1002="GIRIS")*
(GIRIS_CIKIS!$C$2:$C$1002=$A12)*
(GIRIS_CIKIS!$D$2:$D$1002=$B12)*
(GIRIS_CIKIS!$E$2:$E$1002="KAHVERENGI"),
GIRIS_CIKIS!$F$2:$F$1002
)
)
-
SUM(
IF(
(GIRIS_CIKIS!$B$2:$B$1002="CIKIS")*
(GIRIS_CIKIS!$C$2:$C$1002=$A12)*
(GIRIS_CIKIS!$D$2:$D$1002=$B12)*
(GIRIS_CIKIS!$E$2:$E$1002="KAHVERENGI"),
GIRIS_CIKIS!$F$2:$F$1002
)
),0)</f>
        <v>0</v>
      </c>
      <c r="K12" s="30" cm="1">
        <f t="array" ref="K12">IFERROR(
SUM(
IF(
(GIRIS_CIKIS!$B$2:$B$1002="GIRIS")*
(GIRIS_CIKIS!$C$2:$C$1002=$A12)*
(GIRIS_CIKIS!$D$2:$D$1002=$B12)*
(GIRIS_CIKIS!$E$2:$E$1002="ACIK MOR"),
GIRIS_CIKIS!$F$2:$F$1002
)
)
-
SUM(
IF(
(GIRIS_CIKIS!$B$2:$B$1002="CIKIS")*
(GIRIS_CIKIS!$C$2:$C$1002=$A12)*
(GIRIS_CIKIS!$D$2:$D$1002=$B12)*
(GIRIS_CIKIS!$E$2:$E$1002="ACIK MOR"),
GIRIS_CIKIS!$F$2:$F$1002
)
),0)</f>
        <v>0</v>
      </c>
      <c r="L12" s="14" cm="1">
        <f t="array" ref="L12">IFERROR(
SUM(
IF(
(GIRIS_CIKIS!$B$2:$B$1002="GIRIS")*
(GIRIS_CIKIS!$C$2:$C$1002=$A12)*
(GIRIS_CIKIS!$D$2:$D$1002=$B12)*
(GIRIS_CIKIS!$E$2:$E$1002="GRI"),
GIRIS_CIKIS!$F$2:$F$1002
)
)
-
SUM(
IF(
(GIRIS_CIKIS!$B$2:$B$1002="CIKIS")*
(GIRIS_CIKIS!$C$2:$C$1002=$A12)*
(GIRIS_CIKIS!$D$2:$D$1002=$B12)*
(GIRIS_CIKIS!$E$2:$E$1002="GRI"),
GIRIS_CIKIS!$F$2:$F$1002
)
),0)</f>
        <v>0</v>
      </c>
      <c r="M12" s="32" cm="1">
        <f t="array" ref="M12">IFERROR(
SUM(
IF(
(GIRIS_CIKIS!$B$2:$B$1002="GIRIS")*
(GIRIS_CIKIS!$C$2:$C$1002=$A12)*
(GIRIS_CIKIS!$D$2:$D$1002=$B12)*
(GIRIS_CIKIS!$E$2:$E$1002="TURKUAZ"),
GIRIS_CIKIS!$F$2:$F$1002
)
)
-
SUM(
IF(
(GIRIS_CIKIS!$B$2:$B$1002="CIKIS")*
(GIRIS_CIKIS!$C$2:$C$1002=$A12)*
(GIRIS_CIKIS!$D$2:$D$1002=$B12)*
(GIRIS_CIKIS!$E$2:$E$1002="TURKUAZ"),
GIRIS_CIKIS!$F$2:$F$1002
)
),0)</f>
        <v>0</v>
      </c>
      <c r="N12" s="34" cm="1">
        <f t="array" ref="N12">IFERROR(
SUM(
IF(
(GIRIS_CIKIS!$B$2:$B$1002="GIRIS")*
(GIRIS_CIKIS!$C$2:$C$1002=$A12)*
(GIRIS_CIKIS!$D$2:$D$1002=$B12)*
(GIRIS_CIKIS!$E$2:$E$1002="SIYAH"),
GIRIS_CIKIS!$F$2:$F$1002
)
)
-
SUM(
IF(
(GIRIS_CIKIS!$B$2:$B$1002="CIKIS")*
(GIRIS_CIKIS!$C$2:$C$1002=$A12)*
(GIRIS_CIKIS!$D$2:$D$1002=$B12)*
(GIRIS_CIKIS!$E$2:$E$1002="SIYAH"),
GIRIS_CIKIS!$F$2:$F$1002
)
),0)</f>
        <v>0</v>
      </c>
      <c r="O12" s="36" cm="1">
        <f t="array" ref="O12">IFERROR(
SUM(
IF(
(GIRIS_CIKIS!$B$2:$B$1002="GIRIS")*
(GIRIS_CIKIS!$C$2:$C$1002=$A12)*
(GIRIS_CIKIS!$D$2:$D$1002=$B12)*
(GIRIS_CIKIS!$E$2:$E$1002="MAVI"),
GIRIS_CIKIS!$F$2:$F$1002
)
)
-
SUM(
IF(
(GIRIS_CIKIS!$B$2:$B$1002="CIKIS")*
(GIRIS_CIKIS!$C$2:$C$1002=$A12)*
(GIRIS_CIKIS!$D$2:$D$1002=$B12)*
(GIRIS_CIKIS!$E$2:$E$1002="MAVI"),
GIRIS_CIKIS!$F$2:$F$1002
)
),0)</f>
        <v>2</v>
      </c>
      <c r="P12" s="12">
        <f>SUM(C12:O12)</f>
        <v>11</v>
      </c>
      <c r="Q12" s="37" t="s">
        <v>51</v>
      </c>
    </row>
    <row r="13" spans="1:17" x14ac:dyDescent="0.25">
      <c r="A13" s="2" t="s">
        <v>30</v>
      </c>
      <c r="B13" s="10" t="s">
        <v>16</v>
      </c>
      <c r="C13" s="14" cm="1">
        <f t="array" ref="C13">IFERROR(
SUM(
IF(
(GIRIS_CIKIS!$B$2:$B$1002="GIRIS")*
(GIRIS_CIKIS!$C$2:$C$1002=$A13)*
(GIRIS_CIKIS!$D$2:$D$1002=$B13)*
(GIRIS_CIKIS!$E$2:$E$1002="DALDIRMA"),
GIRIS_CIKIS!$F$2:$F$1002
)
)
-
SUM(
IF(
(GIRIS_CIKIS!$B$2:$B$1002="CIKIS")*
(GIRIS_CIKIS!$C$2:$C$1002=$A13)*
(GIRIS_CIKIS!$D$2:$D$1002=$B13)*
(GIRIS_CIKIS!$E$2:$E$1002="DALDIRMA"),
GIRIS_CIKIS!$F$2:$F$1002
)
),0)</f>
        <v>0</v>
      </c>
      <c r="D13" s="16" cm="1">
        <f t="array" ref="D13">IFERROR(
SUM(
IF(
(GIRIS_CIKIS!$B$2:$B$1002="GIRIS")*
(GIRIS_CIKIS!$C$2:$C$1002=$A13)*
(GIRIS_CIKIS!$D$2:$D$1002=$B13)*
(GIRIS_CIKIS!$E$2:$E$1002="YESIL"),
GIRIS_CIKIS!$F$2:$F$1002
)
)
-
SUM(
IF(
(GIRIS_CIKIS!$B$2:$B$1002="CIKIS")*
(GIRIS_CIKIS!$C$2:$C$1002=$A13)*
(GIRIS_CIKIS!$D$2:$D$1002=$B13)*
(GIRIS_CIKIS!$E$2:$E$1002="YESIL"),
GIRIS_CIKIS!$F$2:$F$1002
)
),0)</f>
        <v>8</v>
      </c>
      <c r="E13" s="18" cm="1">
        <f t="array" ref="E13">IFERROR(
SUM(
IF(
(GIRIS_CIKIS!$B$2:$B$1002="GIRIS")*
(GIRIS_CIKIS!$C$2:$C$1002=$A13)*
(GIRIS_CIKIS!$D$2:$D$1002=$B13)*
(GIRIS_CIKIS!$E$2:$E$1002="MOR"),
GIRIS_CIKIS!$F$2:$F$1002
)
)
-
SUM(
IF(
(GIRIS_CIKIS!$B$2:$B$1002="CIKIS")*
(GIRIS_CIKIS!$C$2:$C$1002=$A13)*
(GIRIS_CIKIS!$D$2:$D$1002=$B13)*
(GIRIS_CIKIS!$E$2:$E$1002="MOR"),
GIRIS_CIKIS!$F$2:$F$1002
)
),0)</f>
        <v>4</v>
      </c>
      <c r="F13" s="20" cm="1">
        <f t="array" ref="F13">IFERROR(
SUM(
IF(
(GIRIS_CIKIS!$B$2:$B$1002="GIRIS")*
(GIRIS_CIKIS!$C$2:$C$1002=$A13)*
(GIRIS_CIKIS!$D$2:$D$1002=$B13)*
(GIRIS_CIKIS!$E$2:$E$1002="ACIK SARI"),
GIRIS_CIKIS!$F$2:$F$1002
)
)
-
SUM(
IF(
(GIRIS_CIKIS!$B$2:$B$1002="CIKIS")*
(GIRIS_CIKIS!$C$2:$C$1002=$A13)*
(GIRIS_CIKIS!$D$2:$D$1002=$B13)*
(GIRIS_CIKIS!$E$2:$E$1002="ACIK SARI"),
GIRIS_CIKIS!$F$2:$F$1002
)
),0)</f>
        <v>0</v>
      </c>
      <c r="G13" s="22" cm="1">
        <f t="array" ref="G13">IFERROR(
SUM(
IF(
(GIRIS_CIKIS!$B$2:$B$1002="GIRIS")*
(GIRIS_CIKIS!$C$2:$C$1002=$A13)*
(GIRIS_CIKIS!$D$2:$D$1002=$B13)*
(GIRIS_CIKIS!$E$2:$E$1002="SARI"),
GIRIS_CIKIS!$F$2:$F$1002
)
)
-
SUM(
IF(
(GIRIS_CIKIS!$B$2:$B$1002="CIKIS")*
(GIRIS_CIKIS!$C$2:$C$1002=$A13)*
(GIRIS_CIKIS!$D$2:$D$1002=$B13)*
(GIRIS_CIKIS!$E$2:$E$1002="SARI"),
GIRIS_CIKIS!$F$2:$F$1002
)
),0)</f>
        <v>2</v>
      </c>
      <c r="H13" s="26" cm="1">
        <f t="array" ref="H13">IFERROR(
SUM(
IF(
(GIRIS_CIKIS!$B$2:$B$1002="GIRIS")*
(GIRIS_CIKIS!$C$2:$C$1002=$A13)*
(GIRIS_CIKIS!$D$2:$D$1002=$B13)*
(GIRIS_CIKIS!$E$2:$E$1002="TURUNCU"),
GIRIS_CIKIS!$F$2:$F$1002
)
)
-
SUM(
IF(
(GIRIS_CIKIS!$B$2:$B$1002="CIKIS")*
(GIRIS_CIKIS!$C$2:$C$1002=$A13)*
(GIRIS_CIKIS!$D$2:$D$1002=$B13)*
(GIRIS_CIKIS!$E$2:$E$1002="TURUNCU"),
GIRIS_CIKIS!$F$2:$F$1002
)
),0)</f>
        <v>2</v>
      </c>
      <c r="I13" s="24" cm="1">
        <f t="array" ref="I13">IFERROR(
SUM(
IF(
(GIRIS_CIKIS!$B$2:$B$1002="GIRIS")*
(GIRIS_CIKIS!$C$2:$C$1002=$A13)*
(GIRIS_CIKIS!$D$2:$D$1002=$B13)*
(GIRIS_CIKIS!$E$2:$E$1002="KIRMIZI"),
GIRIS_CIKIS!$F$2:$F$1002
)
)
-
SUM(
IF(
(GIRIS_CIKIS!$B$2:$B$1002="CIKIS")*
(GIRIS_CIKIS!$C$2:$C$1002=$A13)*
(GIRIS_CIKIS!$D$2:$D$1002=$B13)*
(GIRIS_CIKIS!$E$2:$E$1002="KIRMIZI"),
GIRIS_CIKIS!$F$2:$F$1002
)
),0)</f>
        <v>0</v>
      </c>
      <c r="J13" s="28" cm="1">
        <f t="array" ref="J13">IFERROR(
SUM(
IF(
(GIRIS_CIKIS!$B$2:$B$1002="GIRIS")*
(GIRIS_CIKIS!$C$2:$C$1002=$A13)*
(GIRIS_CIKIS!$D$2:$D$1002=$B13)*
(GIRIS_CIKIS!$E$2:$E$1002="KAHVERENGI"),
GIRIS_CIKIS!$F$2:$F$1002
)
)
-
SUM(
IF(
(GIRIS_CIKIS!$B$2:$B$1002="CIKIS")*
(GIRIS_CIKIS!$C$2:$C$1002=$A13)*
(GIRIS_CIKIS!$D$2:$D$1002=$B13)*
(GIRIS_CIKIS!$E$2:$E$1002="KAHVERENGI"),
GIRIS_CIKIS!$F$2:$F$1002
)
),0)</f>
        <v>0</v>
      </c>
      <c r="K13" s="30" cm="1">
        <f t="array" ref="K13">IFERROR(
SUM(
IF(
(GIRIS_CIKIS!$B$2:$B$1002="GIRIS")*
(GIRIS_CIKIS!$C$2:$C$1002=$A13)*
(GIRIS_CIKIS!$D$2:$D$1002=$B13)*
(GIRIS_CIKIS!$E$2:$E$1002="ACIK MOR"),
GIRIS_CIKIS!$F$2:$F$1002
)
)
-
SUM(
IF(
(GIRIS_CIKIS!$B$2:$B$1002="CIKIS")*
(GIRIS_CIKIS!$C$2:$C$1002=$A13)*
(GIRIS_CIKIS!$D$2:$D$1002=$B13)*
(GIRIS_CIKIS!$E$2:$E$1002="ACIK MOR"),
GIRIS_CIKIS!$F$2:$F$1002
)
),0)</f>
        <v>0</v>
      </c>
      <c r="L13" s="14" cm="1">
        <f t="array" ref="L13">IFERROR(
SUM(
IF(
(GIRIS_CIKIS!$B$2:$B$1002="GIRIS")*
(GIRIS_CIKIS!$C$2:$C$1002=$A13)*
(GIRIS_CIKIS!$D$2:$D$1002=$B13)*
(GIRIS_CIKIS!$E$2:$E$1002="GRI"),
GIRIS_CIKIS!$F$2:$F$1002
)
)
-
SUM(
IF(
(GIRIS_CIKIS!$B$2:$B$1002="CIKIS")*
(GIRIS_CIKIS!$C$2:$C$1002=$A13)*
(GIRIS_CIKIS!$D$2:$D$1002=$B13)*
(GIRIS_CIKIS!$E$2:$E$1002="GRI"),
GIRIS_CIKIS!$F$2:$F$1002
)
),0)</f>
        <v>0</v>
      </c>
      <c r="M13" s="32" cm="1">
        <f t="array" ref="M13">IFERROR(
SUM(
IF(
(GIRIS_CIKIS!$B$2:$B$1002="GIRIS")*
(GIRIS_CIKIS!$C$2:$C$1002=$A13)*
(GIRIS_CIKIS!$D$2:$D$1002=$B13)*
(GIRIS_CIKIS!$E$2:$E$1002="TURKUAZ"),
GIRIS_CIKIS!$F$2:$F$1002
)
)
-
SUM(
IF(
(GIRIS_CIKIS!$B$2:$B$1002="CIKIS")*
(GIRIS_CIKIS!$C$2:$C$1002=$A13)*
(GIRIS_CIKIS!$D$2:$D$1002=$B13)*
(GIRIS_CIKIS!$E$2:$E$1002="TURKUAZ"),
GIRIS_CIKIS!$F$2:$F$1002
)
),0)</f>
        <v>0</v>
      </c>
      <c r="N13" s="34" cm="1">
        <f t="array" ref="N13">IFERROR(
SUM(
IF(
(GIRIS_CIKIS!$B$2:$B$1002="GIRIS")*
(GIRIS_CIKIS!$C$2:$C$1002=$A13)*
(GIRIS_CIKIS!$D$2:$D$1002=$B13)*
(GIRIS_CIKIS!$E$2:$E$1002="SIYAH"),
GIRIS_CIKIS!$F$2:$F$1002
)
)
-
SUM(
IF(
(GIRIS_CIKIS!$B$2:$B$1002="CIKIS")*
(GIRIS_CIKIS!$C$2:$C$1002=$A13)*
(GIRIS_CIKIS!$D$2:$D$1002=$B13)*
(GIRIS_CIKIS!$E$2:$E$1002="SIYAH"),
GIRIS_CIKIS!$F$2:$F$1002
)
),0)</f>
        <v>0</v>
      </c>
      <c r="O13" s="36" cm="1">
        <f t="array" ref="O13">IFERROR(
SUM(
IF(
(GIRIS_CIKIS!$B$2:$B$1002="GIRIS")*
(GIRIS_CIKIS!$C$2:$C$1002=$A13)*
(GIRIS_CIKIS!$D$2:$D$1002=$B13)*
(GIRIS_CIKIS!$E$2:$E$1002="MAVI"),
GIRIS_CIKIS!$F$2:$F$1002
)
)
-
SUM(
IF(
(GIRIS_CIKIS!$B$2:$B$1002="CIKIS")*
(GIRIS_CIKIS!$C$2:$C$1002=$A13)*
(GIRIS_CIKIS!$D$2:$D$1002=$B13)*
(GIRIS_CIKIS!$E$2:$E$1002="MAVI"),
GIRIS_CIKIS!$F$2:$F$1002
)
),0)</f>
        <v>0</v>
      </c>
      <c r="P13" s="12">
        <f>SUM(C13:O13)</f>
        <v>16</v>
      </c>
      <c r="Q13" s="37" t="s">
        <v>51</v>
      </c>
    </row>
    <row r="14" spans="1:17" x14ac:dyDescent="0.25">
      <c r="A14" s="2" t="s">
        <v>34</v>
      </c>
      <c r="B14" s="10" t="s">
        <v>17</v>
      </c>
      <c r="C14" s="14" cm="1">
        <f t="array" ref="C14">IFERROR(
SUM(
IF(
(GIRIS_CIKIS!$B$2:$B$1002="GIRIS")*
(GIRIS_CIKIS!$C$2:$C$1002=$A14)*
(GIRIS_CIKIS!$D$2:$D$1002=$B14)*
(GIRIS_CIKIS!$E$2:$E$1002="DALDIRMA"),
GIRIS_CIKIS!$F$2:$F$1002
)
)
-
SUM(
IF(
(GIRIS_CIKIS!$B$2:$B$1002="CIKIS")*
(GIRIS_CIKIS!$C$2:$C$1002=$A14)*
(GIRIS_CIKIS!$D$2:$D$1002=$B14)*
(GIRIS_CIKIS!$E$2:$E$1002="DALDIRMA"),
GIRIS_CIKIS!$F$2:$F$1002
)
),0)</f>
        <v>0</v>
      </c>
      <c r="D14" s="16" cm="1">
        <f t="array" ref="D14">IFERROR(
SUM(
IF(
(GIRIS_CIKIS!$B$2:$B$1002="GIRIS")*
(GIRIS_CIKIS!$C$2:$C$1002=$A14)*
(GIRIS_CIKIS!$D$2:$D$1002=$B14)*
(GIRIS_CIKIS!$E$2:$E$1002="YESIL"),
GIRIS_CIKIS!$F$2:$F$1002
)
)
-
SUM(
IF(
(GIRIS_CIKIS!$B$2:$B$1002="CIKIS")*
(GIRIS_CIKIS!$C$2:$C$1002=$A14)*
(GIRIS_CIKIS!$D$2:$D$1002=$B14)*
(GIRIS_CIKIS!$E$2:$E$1002="YESIL"),
GIRIS_CIKIS!$F$2:$F$1002
)
),0)</f>
        <v>10</v>
      </c>
      <c r="E14" s="18" cm="1">
        <f t="array" ref="E14">IFERROR(
SUM(
IF(
(GIRIS_CIKIS!$B$2:$B$1002="GIRIS")*
(GIRIS_CIKIS!$C$2:$C$1002=$A14)*
(GIRIS_CIKIS!$D$2:$D$1002=$B14)*
(GIRIS_CIKIS!$E$2:$E$1002="MOR"),
GIRIS_CIKIS!$F$2:$F$1002
)
)
-
SUM(
IF(
(GIRIS_CIKIS!$B$2:$B$1002="CIKIS")*
(GIRIS_CIKIS!$C$2:$C$1002=$A14)*
(GIRIS_CIKIS!$D$2:$D$1002=$B14)*
(GIRIS_CIKIS!$E$2:$E$1002="MOR"),
GIRIS_CIKIS!$F$2:$F$1002
)
),0)</f>
        <v>0</v>
      </c>
      <c r="F14" s="20" cm="1">
        <f t="array" ref="F14">IFERROR(
SUM(
IF(
(GIRIS_CIKIS!$B$2:$B$1002="GIRIS")*
(GIRIS_CIKIS!$C$2:$C$1002=$A14)*
(GIRIS_CIKIS!$D$2:$D$1002=$B14)*
(GIRIS_CIKIS!$E$2:$E$1002="ACIK SARI"),
GIRIS_CIKIS!$F$2:$F$1002
)
)
-
SUM(
IF(
(GIRIS_CIKIS!$B$2:$B$1002="CIKIS")*
(GIRIS_CIKIS!$C$2:$C$1002=$A14)*
(GIRIS_CIKIS!$D$2:$D$1002=$B14)*
(GIRIS_CIKIS!$E$2:$E$1002="ACIK SARI"),
GIRIS_CIKIS!$F$2:$F$1002
)
),0)</f>
        <v>0</v>
      </c>
      <c r="G14" s="22" cm="1">
        <f t="array" ref="G14">IFERROR(
SUM(
IF(
(GIRIS_CIKIS!$B$2:$B$1002="GIRIS")*
(GIRIS_CIKIS!$C$2:$C$1002=$A14)*
(GIRIS_CIKIS!$D$2:$D$1002=$B14)*
(GIRIS_CIKIS!$E$2:$E$1002="SARI"),
GIRIS_CIKIS!$F$2:$F$1002
)
)
-
SUM(
IF(
(GIRIS_CIKIS!$B$2:$B$1002="CIKIS")*
(GIRIS_CIKIS!$C$2:$C$1002=$A14)*
(GIRIS_CIKIS!$D$2:$D$1002=$B14)*
(GIRIS_CIKIS!$E$2:$E$1002="SARI"),
GIRIS_CIKIS!$F$2:$F$1002
)
),0)</f>
        <v>13</v>
      </c>
      <c r="H14" s="26" cm="1">
        <f t="array" ref="H14">IFERROR(
SUM(
IF(
(GIRIS_CIKIS!$B$2:$B$1002="GIRIS")*
(GIRIS_CIKIS!$C$2:$C$1002=$A14)*
(GIRIS_CIKIS!$D$2:$D$1002=$B14)*
(GIRIS_CIKIS!$E$2:$E$1002="TURUNCU"),
GIRIS_CIKIS!$F$2:$F$1002
)
)
-
SUM(
IF(
(GIRIS_CIKIS!$B$2:$B$1002="CIKIS")*
(GIRIS_CIKIS!$C$2:$C$1002=$A14)*
(GIRIS_CIKIS!$D$2:$D$1002=$B14)*
(GIRIS_CIKIS!$E$2:$E$1002="TURUNCU"),
GIRIS_CIKIS!$F$2:$F$1002
)
),0)</f>
        <v>0</v>
      </c>
      <c r="I14" s="24" cm="1">
        <f t="array" ref="I14">IFERROR(
SUM(
IF(
(GIRIS_CIKIS!$B$2:$B$1002="GIRIS")*
(GIRIS_CIKIS!$C$2:$C$1002=$A14)*
(GIRIS_CIKIS!$D$2:$D$1002=$B14)*
(GIRIS_CIKIS!$E$2:$E$1002="KIRMIZI"),
GIRIS_CIKIS!$F$2:$F$1002
)
)
-
SUM(
IF(
(GIRIS_CIKIS!$B$2:$B$1002="CIKIS")*
(GIRIS_CIKIS!$C$2:$C$1002=$A14)*
(GIRIS_CIKIS!$D$2:$D$1002=$B14)*
(GIRIS_CIKIS!$E$2:$E$1002="KIRMIZI"),
GIRIS_CIKIS!$F$2:$F$1002
)
),0)</f>
        <v>0</v>
      </c>
      <c r="J14" s="28" cm="1">
        <f t="array" ref="J14">IFERROR(
SUM(
IF(
(GIRIS_CIKIS!$B$2:$B$1002="GIRIS")*
(GIRIS_CIKIS!$C$2:$C$1002=$A14)*
(GIRIS_CIKIS!$D$2:$D$1002=$B14)*
(GIRIS_CIKIS!$E$2:$E$1002="KAHVERENGI"),
GIRIS_CIKIS!$F$2:$F$1002
)
)
-
SUM(
IF(
(GIRIS_CIKIS!$B$2:$B$1002="CIKIS")*
(GIRIS_CIKIS!$C$2:$C$1002=$A14)*
(GIRIS_CIKIS!$D$2:$D$1002=$B14)*
(GIRIS_CIKIS!$E$2:$E$1002="KAHVERENGI"),
GIRIS_CIKIS!$F$2:$F$1002
)
),0)</f>
        <v>0</v>
      </c>
      <c r="K14" s="30" cm="1">
        <f t="array" ref="K14">IFERROR(
SUM(
IF(
(GIRIS_CIKIS!$B$2:$B$1002="GIRIS")*
(GIRIS_CIKIS!$C$2:$C$1002=$A14)*
(GIRIS_CIKIS!$D$2:$D$1002=$B14)*
(GIRIS_CIKIS!$E$2:$E$1002="ACIK MOR"),
GIRIS_CIKIS!$F$2:$F$1002
)
)
-
SUM(
IF(
(GIRIS_CIKIS!$B$2:$B$1002="CIKIS")*
(GIRIS_CIKIS!$C$2:$C$1002=$A14)*
(GIRIS_CIKIS!$D$2:$D$1002=$B14)*
(GIRIS_CIKIS!$E$2:$E$1002="ACIK MOR"),
GIRIS_CIKIS!$F$2:$F$1002
)
),0)</f>
        <v>0</v>
      </c>
      <c r="L14" s="14" cm="1">
        <f t="array" ref="L14">IFERROR(
SUM(
IF(
(GIRIS_CIKIS!$B$2:$B$1002="GIRIS")*
(GIRIS_CIKIS!$C$2:$C$1002=$A14)*
(GIRIS_CIKIS!$D$2:$D$1002=$B14)*
(GIRIS_CIKIS!$E$2:$E$1002="GRI"),
GIRIS_CIKIS!$F$2:$F$1002
)
)
-
SUM(
IF(
(GIRIS_CIKIS!$B$2:$B$1002="CIKIS")*
(GIRIS_CIKIS!$C$2:$C$1002=$A14)*
(GIRIS_CIKIS!$D$2:$D$1002=$B14)*
(GIRIS_CIKIS!$E$2:$E$1002="GRI"),
GIRIS_CIKIS!$F$2:$F$1002
)
),0)</f>
        <v>0</v>
      </c>
      <c r="M14" s="32" cm="1">
        <f t="array" ref="M14">IFERROR(
SUM(
IF(
(GIRIS_CIKIS!$B$2:$B$1002="GIRIS")*
(GIRIS_CIKIS!$C$2:$C$1002=$A14)*
(GIRIS_CIKIS!$D$2:$D$1002=$B14)*
(GIRIS_CIKIS!$E$2:$E$1002="TURKUAZ"),
GIRIS_CIKIS!$F$2:$F$1002
)
)
-
SUM(
IF(
(GIRIS_CIKIS!$B$2:$B$1002="CIKIS")*
(GIRIS_CIKIS!$C$2:$C$1002=$A14)*
(GIRIS_CIKIS!$D$2:$D$1002=$B14)*
(GIRIS_CIKIS!$E$2:$E$1002="TURKUAZ"),
GIRIS_CIKIS!$F$2:$F$1002
)
),0)</f>
        <v>0</v>
      </c>
      <c r="N14" s="34" cm="1">
        <f t="array" ref="N14">IFERROR(
SUM(
IF(
(GIRIS_CIKIS!$B$2:$B$1002="GIRIS")*
(GIRIS_CIKIS!$C$2:$C$1002=$A14)*
(GIRIS_CIKIS!$D$2:$D$1002=$B14)*
(GIRIS_CIKIS!$E$2:$E$1002="SIYAH"),
GIRIS_CIKIS!$F$2:$F$1002
)
)
-
SUM(
IF(
(GIRIS_CIKIS!$B$2:$B$1002="CIKIS")*
(GIRIS_CIKIS!$C$2:$C$1002=$A14)*
(GIRIS_CIKIS!$D$2:$D$1002=$B14)*
(GIRIS_CIKIS!$E$2:$E$1002="SIYAH"),
GIRIS_CIKIS!$F$2:$F$1002
)
),0)</f>
        <v>0</v>
      </c>
      <c r="O14" s="36" cm="1">
        <f t="array" ref="O14">IFERROR(
SUM(
IF(
(GIRIS_CIKIS!$B$2:$B$1002="GIRIS")*
(GIRIS_CIKIS!$C$2:$C$1002=$A14)*
(GIRIS_CIKIS!$D$2:$D$1002=$B14)*
(GIRIS_CIKIS!$E$2:$E$1002="MAVI"),
GIRIS_CIKIS!$F$2:$F$1002
)
)
-
SUM(
IF(
(GIRIS_CIKIS!$B$2:$B$1002="CIKIS")*
(GIRIS_CIKIS!$C$2:$C$1002=$A14)*
(GIRIS_CIKIS!$D$2:$D$1002=$B14)*
(GIRIS_CIKIS!$E$2:$E$1002="MAVI"),
GIRIS_CIKIS!$F$2:$F$1002
)
),0)</f>
        <v>0</v>
      </c>
      <c r="P14" s="12">
        <f>SUM(C14:O14)</f>
        <v>23</v>
      </c>
      <c r="Q14" s="37" t="s">
        <v>51</v>
      </c>
    </row>
    <row r="15" spans="1:17" x14ac:dyDescent="0.25">
      <c r="A15" s="3" t="s">
        <v>34</v>
      </c>
      <c r="B15" s="10" t="s">
        <v>18</v>
      </c>
      <c r="C15" s="14" cm="1">
        <f t="array" ref="C15">IFERROR(
SUM(
IF(
(GIRIS_CIKIS!$B$2:$B$1002="GIRIS")*
(GIRIS_CIKIS!$C$2:$C$1002=$A15)*
(GIRIS_CIKIS!$D$2:$D$1002=$B15)*
(GIRIS_CIKIS!$E$2:$E$1002="DALDIRMA"),
GIRIS_CIKIS!$F$2:$F$1002
)
)
-
SUM(
IF(
(GIRIS_CIKIS!$B$2:$B$1002="CIKIS")*
(GIRIS_CIKIS!$C$2:$C$1002=$A15)*
(GIRIS_CIKIS!$D$2:$D$1002=$B15)*
(GIRIS_CIKIS!$E$2:$E$1002="DALDIRMA"),
GIRIS_CIKIS!$F$2:$F$1002
)
),0)</f>
        <v>0</v>
      </c>
      <c r="D15" s="16" cm="1">
        <f t="array" ref="D15">IFERROR(
SUM(
IF(
(GIRIS_CIKIS!$B$2:$B$1002="GIRIS")*
(GIRIS_CIKIS!$C$2:$C$1002=$A15)*
(GIRIS_CIKIS!$D$2:$D$1002=$B15)*
(GIRIS_CIKIS!$E$2:$E$1002="YESIL"),
GIRIS_CIKIS!$F$2:$F$1002
)
)
-
SUM(
IF(
(GIRIS_CIKIS!$B$2:$B$1002="CIKIS")*
(GIRIS_CIKIS!$C$2:$C$1002=$A15)*
(GIRIS_CIKIS!$D$2:$D$1002=$B15)*
(GIRIS_CIKIS!$E$2:$E$1002="YESIL"),
GIRIS_CIKIS!$F$2:$F$1002
)
),0)</f>
        <v>14</v>
      </c>
      <c r="E15" s="18" cm="1">
        <f t="array" ref="E15">IFERROR(
SUM(
IF(
(GIRIS_CIKIS!$B$2:$B$1002="GIRIS")*
(GIRIS_CIKIS!$C$2:$C$1002=$A15)*
(GIRIS_CIKIS!$D$2:$D$1002=$B15)*
(GIRIS_CIKIS!$E$2:$E$1002="MOR"),
GIRIS_CIKIS!$F$2:$F$1002
)
)
-
SUM(
IF(
(GIRIS_CIKIS!$B$2:$B$1002="CIKIS")*
(GIRIS_CIKIS!$C$2:$C$1002=$A15)*
(GIRIS_CIKIS!$D$2:$D$1002=$B15)*
(GIRIS_CIKIS!$E$2:$E$1002="MOR"),
GIRIS_CIKIS!$F$2:$F$1002
)
),0)</f>
        <v>8</v>
      </c>
      <c r="F15" s="20" cm="1">
        <f t="array" ref="F15">IFERROR(
SUM(
IF(
(GIRIS_CIKIS!$B$2:$B$1002="GIRIS")*
(GIRIS_CIKIS!$C$2:$C$1002=$A15)*
(GIRIS_CIKIS!$D$2:$D$1002=$B15)*
(GIRIS_CIKIS!$E$2:$E$1002="ACIK SARI"),
GIRIS_CIKIS!$F$2:$F$1002
)
)
-
SUM(
IF(
(GIRIS_CIKIS!$B$2:$B$1002="CIKIS")*
(GIRIS_CIKIS!$C$2:$C$1002=$A15)*
(GIRIS_CIKIS!$D$2:$D$1002=$B15)*
(GIRIS_CIKIS!$E$2:$E$1002="ACIK SARI"),
GIRIS_CIKIS!$F$2:$F$1002
)
),0)</f>
        <v>0</v>
      </c>
      <c r="G15" s="22" cm="1">
        <f t="array" ref="G15">IFERROR(
SUM(
IF(
(GIRIS_CIKIS!$B$2:$B$1002="GIRIS")*
(GIRIS_CIKIS!$C$2:$C$1002=$A15)*
(GIRIS_CIKIS!$D$2:$D$1002=$B15)*
(GIRIS_CIKIS!$E$2:$E$1002="SARI"),
GIRIS_CIKIS!$F$2:$F$1002
)
)
-
SUM(
IF(
(GIRIS_CIKIS!$B$2:$B$1002="CIKIS")*
(GIRIS_CIKIS!$C$2:$C$1002=$A15)*
(GIRIS_CIKIS!$D$2:$D$1002=$B15)*
(GIRIS_CIKIS!$E$2:$E$1002="SARI"),
GIRIS_CIKIS!$F$2:$F$1002
)
),0)</f>
        <v>10</v>
      </c>
      <c r="H15" s="26" cm="1">
        <f t="array" ref="H15">IFERROR(
SUM(
IF(
(GIRIS_CIKIS!$B$2:$B$1002="GIRIS")*
(GIRIS_CIKIS!$C$2:$C$1002=$A15)*
(GIRIS_CIKIS!$D$2:$D$1002=$B15)*
(GIRIS_CIKIS!$E$2:$E$1002="TURUNCU"),
GIRIS_CIKIS!$F$2:$F$1002
)
)
-
SUM(
IF(
(GIRIS_CIKIS!$B$2:$B$1002="CIKIS")*
(GIRIS_CIKIS!$C$2:$C$1002=$A15)*
(GIRIS_CIKIS!$D$2:$D$1002=$B15)*
(GIRIS_CIKIS!$E$2:$E$1002="TURUNCU"),
GIRIS_CIKIS!$F$2:$F$1002
)
),0)</f>
        <v>7</v>
      </c>
      <c r="I15" s="24" cm="1">
        <f t="array" ref="I15">IFERROR(
SUM(
IF(
(GIRIS_CIKIS!$B$2:$B$1002="GIRIS")*
(GIRIS_CIKIS!$C$2:$C$1002=$A15)*
(GIRIS_CIKIS!$D$2:$D$1002=$B15)*
(GIRIS_CIKIS!$E$2:$E$1002="KIRMIZI"),
GIRIS_CIKIS!$F$2:$F$1002
)
)
-
SUM(
IF(
(GIRIS_CIKIS!$B$2:$B$1002="CIKIS")*
(GIRIS_CIKIS!$C$2:$C$1002=$A15)*
(GIRIS_CIKIS!$D$2:$D$1002=$B15)*
(GIRIS_CIKIS!$E$2:$E$1002="KIRMIZI"),
GIRIS_CIKIS!$F$2:$F$1002
)
),0)</f>
        <v>0</v>
      </c>
      <c r="J15" s="28" cm="1">
        <f t="array" ref="J15">IFERROR(
SUM(
IF(
(GIRIS_CIKIS!$B$2:$B$1002="GIRIS")*
(GIRIS_CIKIS!$C$2:$C$1002=$A15)*
(GIRIS_CIKIS!$D$2:$D$1002=$B15)*
(GIRIS_CIKIS!$E$2:$E$1002="KAHVERENGI"),
GIRIS_CIKIS!$F$2:$F$1002
)
)
-
SUM(
IF(
(GIRIS_CIKIS!$B$2:$B$1002="CIKIS")*
(GIRIS_CIKIS!$C$2:$C$1002=$A15)*
(GIRIS_CIKIS!$D$2:$D$1002=$B15)*
(GIRIS_CIKIS!$E$2:$E$1002="KAHVERENGI"),
GIRIS_CIKIS!$F$2:$F$1002
)
),0)</f>
        <v>1</v>
      </c>
      <c r="K15" s="30" cm="1">
        <f t="array" ref="K15">IFERROR(
SUM(
IF(
(GIRIS_CIKIS!$B$2:$B$1002="GIRIS")*
(GIRIS_CIKIS!$C$2:$C$1002=$A15)*
(GIRIS_CIKIS!$D$2:$D$1002=$B15)*
(GIRIS_CIKIS!$E$2:$E$1002="ACIK MOR"),
GIRIS_CIKIS!$F$2:$F$1002
)
)
-
SUM(
IF(
(GIRIS_CIKIS!$B$2:$B$1002="CIKIS")*
(GIRIS_CIKIS!$C$2:$C$1002=$A15)*
(GIRIS_CIKIS!$D$2:$D$1002=$B15)*
(GIRIS_CIKIS!$E$2:$E$1002="ACIK MOR"),
GIRIS_CIKIS!$F$2:$F$1002
)
),0)</f>
        <v>0</v>
      </c>
      <c r="L15" s="14" cm="1">
        <f t="array" ref="L15">IFERROR(
SUM(
IF(
(GIRIS_CIKIS!$B$2:$B$1002="GIRIS")*
(GIRIS_CIKIS!$C$2:$C$1002=$A15)*
(GIRIS_CIKIS!$D$2:$D$1002=$B15)*
(GIRIS_CIKIS!$E$2:$E$1002="GRI"),
GIRIS_CIKIS!$F$2:$F$1002
)
)
-
SUM(
IF(
(GIRIS_CIKIS!$B$2:$B$1002="CIKIS")*
(GIRIS_CIKIS!$C$2:$C$1002=$A15)*
(GIRIS_CIKIS!$D$2:$D$1002=$B15)*
(GIRIS_CIKIS!$E$2:$E$1002="GRI"),
GIRIS_CIKIS!$F$2:$F$1002
)
),0)</f>
        <v>0</v>
      </c>
      <c r="M15" s="32" cm="1">
        <f t="array" ref="M15">IFERROR(
SUM(
IF(
(GIRIS_CIKIS!$B$2:$B$1002="GIRIS")*
(GIRIS_CIKIS!$C$2:$C$1002=$A15)*
(GIRIS_CIKIS!$D$2:$D$1002=$B15)*
(GIRIS_CIKIS!$E$2:$E$1002="TURKUAZ"),
GIRIS_CIKIS!$F$2:$F$1002
)
)
-
SUM(
IF(
(GIRIS_CIKIS!$B$2:$B$1002="CIKIS")*
(GIRIS_CIKIS!$C$2:$C$1002=$A15)*
(GIRIS_CIKIS!$D$2:$D$1002=$B15)*
(GIRIS_CIKIS!$E$2:$E$1002="TURKUAZ"),
GIRIS_CIKIS!$F$2:$F$1002
)
),0)</f>
        <v>0</v>
      </c>
      <c r="N15" s="34" cm="1">
        <f t="array" ref="N15">IFERROR(
SUM(
IF(
(GIRIS_CIKIS!$B$2:$B$1002="GIRIS")*
(GIRIS_CIKIS!$C$2:$C$1002=$A15)*
(GIRIS_CIKIS!$D$2:$D$1002=$B15)*
(GIRIS_CIKIS!$E$2:$E$1002="SIYAH"),
GIRIS_CIKIS!$F$2:$F$1002
)
)
-
SUM(
IF(
(GIRIS_CIKIS!$B$2:$B$1002="CIKIS")*
(GIRIS_CIKIS!$C$2:$C$1002=$A15)*
(GIRIS_CIKIS!$D$2:$D$1002=$B15)*
(GIRIS_CIKIS!$E$2:$E$1002="SIYAH"),
GIRIS_CIKIS!$F$2:$F$1002
)
),0)</f>
        <v>0</v>
      </c>
      <c r="O15" s="36" cm="1">
        <f t="array" ref="O15">IFERROR(
SUM(
IF(
(GIRIS_CIKIS!$B$2:$B$1002="GIRIS")*
(GIRIS_CIKIS!$C$2:$C$1002=$A15)*
(GIRIS_CIKIS!$D$2:$D$1002=$B15)*
(GIRIS_CIKIS!$E$2:$E$1002="MAVI"),
GIRIS_CIKIS!$F$2:$F$1002
)
)
-
SUM(
IF(
(GIRIS_CIKIS!$B$2:$B$1002="CIKIS")*
(GIRIS_CIKIS!$C$2:$C$1002=$A15)*
(GIRIS_CIKIS!$D$2:$D$1002=$B15)*
(GIRIS_CIKIS!$E$2:$E$1002="MAVI"),
GIRIS_CIKIS!$F$2:$F$1002
)
),0)</f>
        <v>3</v>
      </c>
      <c r="P15" s="12">
        <f>SUM(C15:O15)</f>
        <v>43</v>
      </c>
      <c r="Q15" s="37" t="s">
        <v>51</v>
      </c>
    </row>
    <row r="16" spans="1:17" x14ac:dyDescent="0.25">
      <c r="A16" s="3" t="s">
        <v>34</v>
      </c>
      <c r="B16" s="10" t="s">
        <v>19</v>
      </c>
      <c r="C16" s="14" cm="1">
        <f t="array" ref="C16">IFERROR(
SUM(
IF(
(GIRIS_CIKIS!$B$2:$B$1002="GIRIS")*
(GIRIS_CIKIS!$C$2:$C$1002=$A16)*
(GIRIS_CIKIS!$D$2:$D$1002=$B16)*
(GIRIS_CIKIS!$E$2:$E$1002="DALDIRMA"),
GIRIS_CIKIS!$F$2:$F$1002
)
)
-
SUM(
IF(
(GIRIS_CIKIS!$B$2:$B$1002="CIKIS")*
(GIRIS_CIKIS!$C$2:$C$1002=$A16)*
(GIRIS_CIKIS!$D$2:$D$1002=$B16)*
(GIRIS_CIKIS!$E$2:$E$1002="DALDIRMA"),
GIRIS_CIKIS!$F$2:$F$1002
)
),0)</f>
        <v>0</v>
      </c>
      <c r="D16" s="16" cm="1">
        <f t="array" ref="D16">IFERROR(
SUM(
IF(
(GIRIS_CIKIS!$B$2:$B$1002="GIRIS")*
(GIRIS_CIKIS!$C$2:$C$1002=$A16)*
(GIRIS_CIKIS!$D$2:$D$1002=$B16)*
(GIRIS_CIKIS!$E$2:$E$1002="YESIL"),
GIRIS_CIKIS!$F$2:$F$1002
)
)
-
SUM(
IF(
(GIRIS_CIKIS!$B$2:$B$1002="CIKIS")*
(GIRIS_CIKIS!$C$2:$C$1002=$A16)*
(GIRIS_CIKIS!$D$2:$D$1002=$B16)*
(GIRIS_CIKIS!$E$2:$E$1002="YESIL"),
GIRIS_CIKIS!$F$2:$F$1002
)
),0)</f>
        <v>6</v>
      </c>
      <c r="E16" s="18" cm="1">
        <f t="array" ref="E16">IFERROR(
SUM(
IF(
(GIRIS_CIKIS!$B$2:$B$1002="GIRIS")*
(GIRIS_CIKIS!$C$2:$C$1002=$A16)*
(GIRIS_CIKIS!$D$2:$D$1002=$B16)*
(GIRIS_CIKIS!$E$2:$E$1002="MOR"),
GIRIS_CIKIS!$F$2:$F$1002
)
)
-
SUM(
IF(
(GIRIS_CIKIS!$B$2:$B$1002="CIKIS")*
(GIRIS_CIKIS!$C$2:$C$1002=$A16)*
(GIRIS_CIKIS!$D$2:$D$1002=$B16)*
(GIRIS_CIKIS!$E$2:$E$1002="MOR"),
GIRIS_CIKIS!$F$2:$F$1002
)
),0)</f>
        <v>1</v>
      </c>
      <c r="F16" s="20" cm="1">
        <f t="array" ref="F16">IFERROR(
SUM(
IF(
(GIRIS_CIKIS!$B$2:$B$1002="GIRIS")*
(GIRIS_CIKIS!$C$2:$C$1002=$A16)*
(GIRIS_CIKIS!$D$2:$D$1002=$B16)*
(GIRIS_CIKIS!$E$2:$E$1002="ACIK SARI"),
GIRIS_CIKIS!$F$2:$F$1002
)
)
-
SUM(
IF(
(GIRIS_CIKIS!$B$2:$B$1002="CIKIS")*
(GIRIS_CIKIS!$C$2:$C$1002=$A16)*
(GIRIS_CIKIS!$D$2:$D$1002=$B16)*
(GIRIS_CIKIS!$E$2:$E$1002="ACIK SARI"),
GIRIS_CIKIS!$F$2:$F$1002
)
),0)</f>
        <v>0</v>
      </c>
      <c r="G16" s="22" cm="1">
        <f t="array" ref="G16">IFERROR(
SUM(
IF(
(GIRIS_CIKIS!$B$2:$B$1002="GIRIS")*
(GIRIS_CIKIS!$C$2:$C$1002=$A16)*
(GIRIS_CIKIS!$D$2:$D$1002=$B16)*
(GIRIS_CIKIS!$E$2:$E$1002="SARI"),
GIRIS_CIKIS!$F$2:$F$1002
)
)
-
SUM(
IF(
(GIRIS_CIKIS!$B$2:$B$1002="CIKIS")*
(GIRIS_CIKIS!$C$2:$C$1002=$A16)*
(GIRIS_CIKIS!$D$2:$D$1002=$B16)*
(GIRIS_CIKIS!$E$2:$E$1002="SARI"),
GIRIS_CIKIS!$F$2:$F$1002
)
),0)</f>
        <v>14</v>
      </c>
      <c r="H16" s="26" cm="1">
        <f t="array" ref="H16">IFERROR(
SUM(
IF(
(GIRIS_CIKIS!$B$2:$B$1002="GIRIS")*
(GIRIS_CIKIS!$C$2:$C$1002=$A16)*
(GIRIS_CIKIS!$D$2:$D$1002=$B16)*
(GIRIS_CIKIS!$E$2:$E$1002="TURUNCU"),
GIRIS_CIKIS!$F$2:$F$1002
)
)
-
SUM(
IF(
(GIRIS_CIKIS!$B$2:$B$1002="CIKIS")*
(GIRIS_CIKIS!$C$2:$C$1002=$A16)*
(GIRIS_CIKIS!$D$2:$D$1002=$B16)*
(GIRIS_CIKIS!$E$2:$E$1002="TURUNCU"),
GIRIS_CIKIS!$F$2:$F$1002
)
),0)</f>
        <v>0</v>
      </c>
      <c r="I16" s="24" cm="1">
        <f t="array" ref="I16">IFERROR(
SUM(
IF(
(GIRIS_CIKIS!$B$2:$B$1002="GIRIS")*
(GIRIS_CIKIS!$C$2:$C$1002=$A16)*
(GIRIS_CIKIS!$D$2:$D$1002=$B16)*
(GIRIS_CIKIS!$E$2:$E$1002="KIRMIZI"),
GIRIS_CIKIS!$F$2:$F$1002
)
)
-
SUM(
IF(
(GIRIS_CIKIS!$B$2:$B$1002="CIKIS")*
(GIRIS_CIKIS!$C$2:$C$1002=$A16)*
(GIRIS_CIKIS!$D$2:$D$1002=$B16)*
(GIRIS_CIKIS!$E$2:$E$1002="KIRMIZI"),
GIRIS_CIKIS!$F$2:$F$1002
)
),0)</f>
        <v>0</v>
      </c>
      <c r="J16" s="28" cm="1">
        <f t="array" ref="J16">IFERROR(
SUM(
IF(
(GIRIS_CIKIS!$B$2:$B$1002="GIRIS")*
(GIRIS_CIKIS!$C$2:$C$1002=$A16)*
(GIRIS_CIKIS!$D$2:$D$1002=$B16)*
(GIRIS_CIKIS!$E$2:$E$1002="KAHVERENGI"),
GIRIS_CIKIS!$F$2:$F$1002
)
)
-
SUM(
IF(
(GIRIS_CIKIS!$B$2:$B$1002="CIKIS")*
(GIRIS_CIKIS!$C$2:$C$1002=$A16)*
(GIRIS_CIKIS!$D$2:$D$1002=$B16)*
(GIRIS_CIKIS!$E$2:$E$1002="KAHVERENGI"),
GIRIS_CIKIS!$F$2:$F$1002
)
),0)</f>
        <v>0</v>
      </c>
      <c r="K16" s="30" cm="1">
        <f t="array" ref="K16">IFERROR(
SUM(
IF(
(GIRIS_CIKIS!$B$2:$B$1002="GIRIS")*
(GIRIS_CIKIS!$C$2:$C$1002=$A16)*
(GIRIS_CIKIS!$D$2:$D$1002=$B16)*
(GIRIS_CIKIS!$E$2:$E$1002="ACIK MOR"),
GIRIS_CIKIS!$F$2:$F$1002
)
)
-
SUM(
IF(
(GIRIS_CIKIS!$B$2:$B$1002="CIKIS")*
(GIRIS_CIKIS!$C$2:$C$1002=$A16)*
(GIRIS_CIKIS!$D$2:$D$1002=$B16)*
(GIRIS_CIKIS!$E$2:$E$1002="ACIK MOR"),
GIRIS_CIKIS!$F$2:$F$1002
)
),0)</f>
        <v>0</v>
      </c>
      <c r="L16" s="14" cm="1">
        <f t="array" ref="L16">IFERROR(
SUM(
IF(
(GIRIS_CIKIS!$B$2:$B$1002="GIRIS")*
(GIRIS_CIKIS!$C$2:$C$1002=$A16)*
(GIRIS_CIKIS!$D$2:$D$1002=$B16)*
(GIRIS_CIKIS!$E$2:$E$1002="GRI"),
GIRIS_CIKIS!$F$2:$F$1002
)
)
-
SUM(
IF(
(GIRIS_CIKIS!$B$2:$B$1002="CIKIS")*
(GIRIS_CIKIS!$C$2:$C$1002=$A16)*
(GIRIS_CIKIS!$D$2:$D$1002=$B16)*
(GIRIS_CIKIS!$E$2:$E$1002="GRI"),
GIRIS_CIKIS!$F$2:$F$1002
)
),0)</f>
        <v>0</v>
      </c>
      <c r="M16" s="32" cm="1">
        <f t="array" ref="M16">IFERROR(
SUM(
IF(
(GIRIS_CIKIS!$B$2:$B$1002="GIRIS")*
(GIRIS_CIKIS!$C$2:$C$1002=$A16)*
(GIRIS_CIKIS!$D$2:$D$1002=$B16)*
(GIRIS_CIKIS!$E$2:$E$1002="TURKUAZ"),
GIRIS_CIKIS!$F$2:$F$1002
)
)
-
SUM(
IF(
(GIRIS_CIKIS!$B$2:$B$1002="CIKIS")*
(GIRIS_CIKIS!$C$2:$C$1002=$A16)*
(GIRIS_CIKIS!$D$2:$D$1002=$B16)*
(GIRIS_CIKIS!$E$2:$E$1002="TURKUAZ"),
GIRIS_CIKIS!$F$2:$F$1002
)
),0)</f>
        <v>0</v>
      </c>
      <c r="N16" s="34" cm="1">
        <f t="array" ref="N16">IFERROR(
SUM(
IF(
(GIRIS_CIKIS!$B$2:$B$1002="GIRIS")*
(GIRIS_CIKIS!$C$2:$C$1002=$A16)*
(GIRIS_CIKIS!$D$2:$D$1002=$B16)*
(GIRIS_CIKIS!$E$2:$E$1002="SIYAH"),
GIRIS_CIKIS!$F$2:$F$1002
)
)
-
SUM(
IF(
(GIRIS_CIKIS!$B$2:$B$1002="CIKIS")*
(GIRIS_CIKIS!$C$2:$C$1002=$A16)*
(GIRIS_CIKIS!$D$2:$D$1002=$B16)*
(GIRIS_CIKIS!$E$2:$E$1002="SIYAH"),
GIRIS_CIKIS!$F$2:$F$1002
)
),0)</f>
        <v>0</v>
      </c>
      <c r="O16" s="36" cm="1">
        <f t="array" ref="O16">IFERROR(
SUM(
IF(
(GIRIS_CIKIS!$B$2:$B$1002="GIRIS")*
(GIRIS_CIKIS!$C$2:$C$1002=$A16)*
(GIRIS_CIKIS!$D$2:$D$1002=$B16)*
(GIRIS_CIKIS!$E$2:$E$1002="MAVI"),
GIRIS_CIKIS!$F$2:$F$1002
)
)
-
SUM(
IF(
(GIRIS_CIKIS!$B$2:$B$1002="CIKIS")*
(GIRIS_CIKIS!$C$2:$C$1002=$A16)*
(GIRIS_CIKIS!$D$2:$D$1002=$B16)*
(GIRIS_CIKIS!$E$2:$E$1002="MAVI"),
GIRIS_CIKIS!$F$2:$F$1002
)
),0)</f>
        <v>9</v>
      </c>
      <c r="P16" s="12">
        <f>SUM(C16:O16)</f>
        <v>30</v>
      </c>
      <c r="Q16" s="37" t="s">
        <v>51</v>
      </c>
    </row>
    <row r="17" spans="1:17" x14ac:dyDescent="0.25">
      <c r="A17" s="3" t="s">
        <v>34</v>
      </c>
      <c r="B17" s="10" t="s">
        <v>20</v>
      </c>
      <c r="C17" s="14" cm="1">
        <f t="array" ref="C17">IFERROR(
SUM(
IF(
(GIRIS_CIKIS!$B$2:$B$1002="GIRIS")*
(GIRIS_CIKIS!$C$2:$C$1002=$A17)*
(GIRIS_CIKIS!$D$2:$D$1002=$B17)*
(GIRIS_CIKIS!$E$2:$E$1002="DALDIRMA"),
GIRIS_CIKIS!$F$2:$F$1002
)
)
-
SUM(
IF(
(GIRIS_CIKIS!$B$2:$B$1002="CIKIS")*
(GIRIS_CIKIS!$C$2:$C$1002=$A17)*
(GIRIS_CIKIS!$D$2:$D$1002=$B17)*
(GIRIS_CIKIS!$E$2:$E$1002="DALDIRMA"),
GIRIS_CIKIS!$F$2:$F$1002
)
),0)</f>
        <v>0</v>
      </c>
      <c r="D17" s="16" cm="1">
        <f t="array" ref="D17">IFERROR(
SUM(
IF(
(GIRIS_CIKIS!$B$2:$B$1002="GIRIS")*
(GIRIS_CIKIS!$C$2:$C$1002=$A17)*
(GIRIS_CIKIS!$D$2:$D$1002=$B17)*
(GIRIS_CIKIS!$E$2:$E$1002="YESIL"),
GIRIS_CIKIS!$F$2:$F$1002
)
)
-
SUM(
IF(
(GIRIS_CIKIS!$B$2:$B$1002="CIKIS")*
(GIRIS_CIKIS!$C$2:$C$1002=$A17)*
(GIRIS_CIKIS!$D$2:$D$1002=$B17)*
(GIRIS_CIKIS!$E$2:$E$1002="YESIL"),
GIRIS_CIKIS!$F$2:$F$1002
)
),0)</f>
        <v>6</v>
      </c>
      <c r="E17" s="18" cm="1">
        <f t="array" ref="E17">IFERROR(
SUM(
IF(
(GIRIS_CIKIS!$B$2:$B$1002="GIRIS")*
(GIRIS_CIKIS!$C$2:$C$1002=$A17)*
(GIRIS_CIKIS!$D$2:$D$1002=$B17)*
(GIRIS_CIKIS!$E$2:$E$1002="MOR"),
GIRIS_CIKIS!$F$2:$F$1002
)
)
-
SUM(
IF(
(GIRIS_CIKIS!$B$2:$B$1002="CIKIS")*
(GIRIS_CIKIS!$C$2:$C$1002=$A17)*
(GIRIS_CIKIS!$D$2:$D$1002=$B17)*
(GIRIS_CIKIS!$E$2:$E$1002="MOR"),
GIRIS_CIKIS!$F$2:$F$1002
)
),0)</f>
        <v>1</v>
      </c>
      <c r="F17" s="20" cm="1">
        <f t="array" ref="F17">IFERROR(
SUM(
IF(
(GIRIS_CIKIS!$B$2:$B$1002="GIRIS")*
(GIRIS_CIKIS!$C$2:$C$1002=$A17)*
(GIRIS_CIKIS!$D$2:$D$1002=$B17)*
(GIRIS_CIKIS!$E$2:$E$1002="ACIK SARI"),
GIRIS_CIKIS!$F$2:$F$1002
)
)
-
SUM(
IF(
(GIRIS_CIKIS!$B$2:$B$1002="CIKIS")*
(GIRIS_CIKIS!$C$2:$C$1002=$A17)*
(GIRIS_CIKIS!$D$2:$D$1002=$B17)*
(GIRIS_CIKIS!$E$2:$E$1002="ACIK SARI"),
GIRIS_CIKIS!$F$2:$F$1002
)
),0)</f>
        <v>0</v>
      </c>
      <c r="G17" s="22" cm="1">
        <f t="array" ref="G17">IFERROR(
SUM(
IF(
(GIRIS_CIKIS!$B$2:$B$1002="GIRIS")*
(GIRIS_CIKIS!$C$2:$C$1002=$A17)*
(GIRIS_CIKIS!$D$2:$D$1002=$B17)*
(GIRIS_CIKIS!$E$2:$E$1002="SARI"),
GIRIS_CIKIS!$F$2:$F$1002
)
)
-
SUM(
IF(
(GIRIS_CIKIS!$B$2:$B$1002="CIKIS")*
(GIRIS_CIKIS!$C$2:$C$1002=$A17)*
(GIRIS_CIKIS!$D$2:$D$1002=$B17)*
(GIRIS_CIKIS!$E$2:$E$1002="SARI"),
GIRIS_CIKIS!$F$2:$F$1002
)
),0)</f>
        <v>4</v>
      </c>
      <c r="H17" s="26" cm="1">
        <f t="array" ref="H17">IFERROR(
SUM(
IF(
(GIRIS_CIKIS!$B$2:$B$1002="GIRIS")*
(GIRIS_CIKIS!$C$2:$C$1002=$A17)*
(GIRIS_CIKIS!$D$2:$D$1002=$B17)*
(GIRIS_CIKIS!$E$2:$E$1002="TURUNCU"),
GIRIS_CIKIS!$F$2:$F$1002
)
)
-
SUM(
IF(
(GIRIS_CIKIS!$B$2:$B$1002="CIKIS")*
(GIRIS_CIKIS!$C$2:$C$1002=$A17)*
(GIRIS_CIKIS!$D$2:$D$1002=$B17)*
(GIRIS_CIKIS!$E$2:$E$1002="TURUNCU"),
GIRIS_CIKIS!$F$2:$F$1002
)
),0)</f>
        <v>0</v>
      </c>
      <c r="I17" s="24" cm="1">
        <f t="array" ref="I17">IFERROR(
SUM(
IF(
(GIRIS_CIKIS!$B$2:$B$1002="GIRIS")*
(GIRIS_CIKIS!$C$2:$C$1002=$A17)*
(GIRIS_CIKIS!$D$2:$D$1002=$B17)*
(GIRIS_CIKIS!$E$2:$E$1002="KIRMIZI"),
GIRIS_CIKIS!$F$2:$F$1002
)
)
-
SUM(
IF(
(GIRIS_CIKIS!$B$2:$B$1002="CIKIS")*
(GIRIS_CIKIS!$C$2:$C$1002=$A17)*
(GIRIS_CIKIS!$D$2:$D$1002=$B17)*
(GIRIS_CIKIS!$E$2:$E$1002="KIRMIZI"),
GIRIS_CIKIS!$F$2:$F$1002
)
),0)</f>
        <v>0</v>
      </c>
      <c r="J17" s="28" cm="1">
        <f t="array" ref="J17">IFERROR(
SUM(
IF(
(GIRIS_CIKIS!$B$2:$B$1002="GIRIS")*
(GIRIS_CIKIS!$C$2:$C$1002=$A17)*
(GIRIS_CIKIS!$D$2:$D$1002=$B17)*
(GIRIS_CIKIS!$E$2:$E$1002="KAHVERENGI"),
GIRIS_CIKIS!$F$2:$F$1002
)
)
-
SUM(
IF(
(GIRIS_CIKIS!$B$2:$B$1002="CIKIS")*
(GIRIS_CIKIS!$C$2:$C$1002=$A17)*
(GIRIS_CIKIS!$D$2:$D$1002=$B17)*
(GIRIS_CIKIS!$E$2:$E$1002="KAHVERENGI"),
GIRIS_CIKIS!$F$2:$F$1002
)
),0)</f>
        <v>0</v>
      </c>
      <c r="K17" s="30" cm="1">
        <f t="array" ref="K17">IFERROR(
SUM(
IF(
(GIRIS_CIKIS!$B$2:$B$1002="GIRIS")*
(GIRIS_CIKIS!$C$2:$C$1002=$A17)*
(GIRIS_CIKIS!$D$2:$D$1002=$B17)*
(GIRIS_CIKIS!$E$2:$E$1002="ACIK MOR"),
GIRIS_CIKIS!$F$2:$F$1002
)
)
-
SUM(
IF(
(GIRIS_CIKIS!$B$2:$B$1002="CIKIS")*
(GIRIS_CIKIS!$C$2:$C$1002=$A17)*
(GIRIS_CIKIS!$D$2:$D$1002=$B17)*
(GIRIS_CIKIS!$E$2:$E$1002="ACIK MOR"),
GIRIS_CIKIS!$F$2:$F$1002
)
),0)</f>
        <v>0</v>
      </c>
      <c r="L17" s="14" cm="1">
        <f t="array" ref="L17">IFERROR(
SUM(
IF(
(GIRIS_CIKIS!$B$2:$B$1002="GIRIS")*
(GIRIS_CIKIS!$C$2:$C$1002=$A17)*
(GIRIS_CIKIS!$D$2:$D$1002=$B17)*
(GIRIS_CIKIS!$E$2:$E$1002="GRI"),
GIRIS_CIKIS!$F$2:$F$1002
)
)
-
SUM(
IF(
(GIRIS_CIKIS!$B$2:$B$1002="CIKIS")*
(GIRIS_CIKIS!$C$2:$C$1002=$A17)*
(GIRIS_CIKIS!$D$2:$D$1002=$B17)*
(GIRIS_CIKIS!$E$2:$E$1002="GRI"),
GIRIS_CIKIS!$F$2:$F$1002
)
),0)</f>
        <v>0</v>
      </c>
      <c r="M17" s="32" cm="1">
        <f t="array" ref="M17">IFERROR(
SUM(
IF(
(GIRIS_CIKIS!$B$2:$B$1002="GIRIS")*
(GIRIS_CIKIS!$C$2:$C$1002=$A17)*
(GIRIS_CIKIS!$D$2:$D$1002=$B17)*
(GIRIS_CIKIS!$E$2:$E$1002="TURKUAZ"),
GIRIS_CIKIS!$F$2:$F$1002
)
)
-
SUM(
IF(
(GIRIS_CIKIS!$B$2:$B$1002="CIKIS")*
(GIRIS_CIKIS!$C$2:$C$1002=$A17)*
(GIRIS_CIKIS!$D$2:$D$1002=$B17)*
(GIRIS_CIKIS!$E$2:$E$1002="TURKUAZ"),
GIRIS_CIKIS!$F$2:$F$1002
)
),0)</f>
        <v>0</v>
      </c>
      <c r="N17" s="34" cm="1">
        <f t="array" ref="N17">IFERROR(
SUM(
IF(
(GIRIS_CIKIS!$B$2:$B$1002="GIRIS")*
(GIRIS_CIKIS!$C$2:$C$1002=$A17)*
(GIRIS_CIKIS!$D$2:$D$1002=$B17)*
(GIRIS_CIKIS!$E$2:$E$1002="SIYAH"),
GIRIS_CIKIS!$F$2:$F$1002
)
)
-
SUM(
IF(
(GIRIS_CIKIS!$B$2:$B$1002="CIKIS")*
(GIRIS_CIKIS!$C$2:$C$1002=$A17)*
(GIRIS_CIKIS!$D$2:$D$1002=$B17)*
(GIRIS_CIKIS!$E$2:$E$1002="SIYAH"),
GIRIS_CIKIS!$F$2:$F$1002
)
),0)</f>
        <v>0</v>
      </c>
      <c r="O17" s="36" cm="1">
        <f t="array" ref="O17">IFERROR(
SUM(
IF(
(GIRIS_CIKIS!$B$2:$B$1002="GIRIS")*
(GIRIS_CIKIS!$C$2:$C$1002=$A17)*
(GIRIS_CIKIS!$D$2:$D$1002=$B17)*
(GIRIS_CIKIS!$E$2:$E$1002="MAVI"),
GIRIS_CIKIS!$F$2:$F$1002
)
)
-
SUM(
IF(
(GIRIS_CIKIS!$B$2:$B$1002="CIKIS")*
(GIRIS_CIKIS!$C$2:$C$1002=$A17)*
(GIRIS_CIKIS!$D$2:$D$1002=$B17)*
(GIRIS_CIKIS!$E$2:$E$1002="MAVI"),
GIRIS_CIKIS!$F$2:$F$1002
)
),0)</f>
        <v>3</v>
      </c>
      <c r="P17" s="12">
        <f>SUM(C17:O17)</f>
        <v>14</v>
      </c>
      <c r="Q17" s="37" t="s">
        <v>51</v>
      </c>
    </row>
    <row r="18" spans="1:17" x14ac:dyDescent="0.25">
      <c r="A18" s="3" t="s">
        <v>34</v>
      </c>
      <c r="B18" s="10" t="s">
        <v>21</v>
      </c>
      <c r="C18" s="14" cm="1">
        <f t="array" ref="C18">IFERROR(
SUM(
IF(
(GIRIS_CIKIS!$B$2:$B$1002="GIRIS")*
(GIRIS_CIKIS!$C$2:$C$1002=$A18)*
(GIRIS_CIKIS!$D$2:$D$1002=$B18)*
(GIRIS_CIKIS!$E$2:$E$1002="DALDIRMA"),
GIRIS_CIKIS!$F$2:$F$1002
)
)
-
SUM(
IF(
(GIRIS_CIKIS!$B$2:$B$1002="CIKIS")*
(GIRIS_CIKIS!$C$2:$C$1002=$A18)*
(GIRIS_CIKIS!$D$2:$D$1002=$B18)*
(GIRIS_CIKIS!$E$2:$E$1002="DALDIRMA"),
GIRIS_CIKIS!$F$2:$F$1002
)
),0)</f>
        <v>0</v>
      </c>
      <c r="D18" s="16" cm="1">
        <f t="array" ref="D18">IFERROR(
SUM(
IF(
(GIRIS_CIKIS!$B$2:$B$1002="GIRIS")*
(GIRIS_CIKIS!$C$2:$C$1002=$A18)*
(GIRIS_CIKIS!$D$2:$D$1002=$B18)*
(GIRIS_CIKIS!$E$2:$E$1002="YESIL"),
GIRIS_CIKIS!$F$2:$F$1002
)
)
-
SUM(
IF(
(GIRIS_CIKIS!$B$2:$B$1002="CIKIS")*
(GIRIS_CIKIS!$C$2:$C$1002=$A18)*
(GIRIS_CIKIS!$D$2:$D$1002=$B18)*
(GIRIS_CIKIS!$E$2:$E$1002="YESIL"),
GIRIS_CIKIS!$F$2:$F$1002
)
),0)</f>
        <v>2</v>
      </c>
      <c r="E18" s="18" cm="1">
        <f t="array" ref="E18">IFERROR(
SUM(
IF(
(GIRIS_CIKIS!$B$2:$B$1002="GIRIS")*
(GIRIS_CIKIS!$C$2:$C$1002=$A18)*
(GIRIS_CIKIS!$D$2:$D$1002=$B18)*
(GIRIS_CIKIS!$E$2:$E$1002="MOR"),
GIRIS_CIKIS!$F$2:$F$1002
)
)
-
SUM(
IF(
(GIRIS_CIKIS!$B$2:$B$1002="CIKIS")*
(GIRIS_CIKIS!$C$2:$C$1002=$A18)*
(GIRIS_CIKIS!$D$2:$D$1002=$B18)*
(GIRIS_CIKIS!$E$2:$E$1002="MOR"),
GIRIS_CIKIS!$F$2:$F$1002
)
),0)</f>
        <v>1</v>
      </c>
      <c r="F18" s="20" cm="1">
        <f t="array" ref="F18">IFERROR(
SUM(
IF(
(GIRIS_CIKIS!$B$2:$B$1002="GIRIS")*
(GIRIS_CIKIS!$C$2:$C$1002=$A18)*
(GIRIS_CIKIS!$D$2:$D$1002=$B18)*
(GIRIS_CIKIS!$E$2:$E$1002="ACIK SARI"),
GIRIS_CIKIS!$F$2:$F$1002
)
)
-
SUM(
IF(
(GIRIS_CIKIS!$B$2:$B$1002="CIKIS")*
(GIRIS_CIKIS!$C$2:$C$1002=$A18)*
(GIRIS_CIKIS!$D$2:$D$1002=$B18)*
(GIRIS_CIKIS!$E$2:$E$1002="ACIK SARI"),
GIRIS_CIKIS!$F$2:$F$1002
)
),0)</f>
        <v>0</v>
      </c>
      <c r="G18" s="22" cm="1">
        <f t="array" ref="G18">IFERROR(
SUM(
IF(
(GIRIS_CIKIS!$B$2:$B$1002="GIRIS")*
(GIRIS_CIKIS!$C$2:$C$1002=$A18)*
(GIRIS_CIKIS!$D$2:$D$1002=$B18)*
(GIRIS_CIKIS!$E$2:$E$1002="SARI"),
GIRIS_CIKIS!$F$2:$F$1002
)
)
-
SUM(
IF(
(GIRIS_CIKIS!$B$2:$B$1002="CIKIS")*
(GIRIS_CIKIS!$C$2:$C$1002=$A18)*
(GIRIS_CIKIS!$D$2:$D$1002=$B18)*
(GIRIS_CIKIS!$E$2:$E$1002="SARI"),
GIRIS_CIKIS!$F$2:$F$1002
)
),0)</f>
        <v>13</v>
      </c>
      <c r="H18" s="26" cm="1">
        <f t="array" ref="H18">IFERROR(
SUM(
IF(
(GIRIS_CIKIS!$B$2:$B$1002="GIRIS")*
(GIRIS_CIKIS!$C$2:$C$1002=$A18)*
(GIRIS_CIKIS!$D$2:$D$1002=$B18)*
(GIRIS_CIKIS!$E$2:$E$1002="TURUNCU"),
GIRIS_CIKIS!$F$2:$F$1002
)
)
-
SUM(
IF(
(GIRIS_CIKIS!$B$2:$B$1002="CIKIS")*
(GIRIS_CIKIS!$C$2:$C$1002=$A18)*
(GIRIS_CIKIS!$D$2:$D$1002=$B18)*
(GIRIS_CIKIS!$E$2:$E$1002="TURUNCU"),
GIRIS_CIKIS!$F$2:$F$1002
)
),0)</f>
        <v>0</v>
      </c>
      <c r="I18" s="24" cm="1">
        <f t="array" ref="I18">IFERROR(
SUM(
IF(
(GIRIS_CIKIS!$B$2:$B$1002="GIRIS")*
(GIRIS_CIKIS!$C$2:$C$1002=$A18)*
(GIRIS_CIKIS!$D$2:$D$1002=$B18)*
(GIRIS_CIKIS!$E$2:$E$1002="KIRMIZI"),
GIRIS_CIKIS!$F$2:$F$1002
)
)
-
SUM(
IF(
(GIRIS_CIKIS!$B$2:$B$1002="CIKIS")*
(GIRIS_CIKIS!$C$2:$C$1002=$A18)*
(GIRIS_CIKIS!$D$2:$D$1002=$B18)*
(GIRIS_CIKIS!$E$2:$E$1002="KIRMIZI"),
GIRIS_CIKIS!$F$2:$F$1002
)
),0)</f>
        <v>0</v>
      </c>
      <c r="J18" s="28" cm="1">
        <f t="array" ref="J18">IFERROR(
SUM(
IF(
(GIRIS_CIKIS!$B$2:$B$1002="GIRIS")*
(GIRIS_CIKIS!$C$2:$C$1002=$A18)*
(GIRIS_CIKIS!$D$2:$D$1002=$B18)*
(GIRIS_CIKIS!$E$2:$E$1002="KAHVERENGI"),
GIRIS_CIKIS!$F$2:$F$1002
)
)
-
SUM(
IF(
(GIRIS_CIKIS!$B$2:$B$1002="CIKIS")*
(GIRIS_CIKIS!$C$2:$C$1002=$A18)*
(GIRIS_CIKIS!$D$2:$D$1002=$B18)*
(GIRIS_CIKIS!$E$2:$E$1002="KAHVERENGI"),
GIRIS_CIKIS!$F$2:$F$1002
)
),0)</f>
        <v>0</v>
      </c>
      <c r="K18" s="30" cm="1">
        <f t="array" ref="K18">IFERROR(
SUM(
IF(
(GIRIS_CIKIS!$B$2:$B$1002="GIRIS")*
(GIRIS_CIKIS!$C$2:$C$1002=$A18)*
(GIRIS_CIKIS!$D$2:$D$1002=$B18)*
(GIRIS_CIKIS!$E$2:$E$1002="ACIK MOR"),
GIRIS_CIKIS!$F$2:$F$1002
)
)
-
SUM(
IF(
(GIRIS_CIKIS!$B$2:$B$1002="CIKIS")*
(GIRIS_CIKIS!$C$2:$C$1002=$A18)*
(GIRIS_CIKIS!$D$2:$D$1002=$B18)*
(GIRIS_CIKIS!$E$2:$E$1002="ACIK MOR"),
GIRIS_CIKIS!$F$2:$F$1002
)
),0)</f>
        <v>0</v>
      </c>
      <c r="L18" s="14" cm="1">
        <f t="array" ref="L18">IFERROR(
SUM(
IF(
(GIRIS_CIKIS!$B$2:$B$1002="GIRIS")*
(GIRIS_CIKIS!$C$2:$C$1002=$A18)*
(GIRIS_CIKIS!$D$2:$D$1002=$B18)*
(GIRIS_CIKIS!$E$2:$E$1002="GRI"),
GIRIS_CIKIS!$F$2:$F$1002
)
)
-
SUM(
IF(
(GIRIS_CIKIS!$B$2:$B$1002="CIKIS")*
(GIRIS_CIKIS!$C$2:$C$1002=$A18)*
(GIRIS_CIKIS!$D$2:$D$1002=$B18)*
(GIRIS_CIKIS!$E$2:$E$1002="GRI"),
GIRIS_CIKIS!$F$2:$F$1002
)
),0)</f>
        <v>0</v>
      </c>
      <c r="M18" s="32" cm="1">
        <f t="array" ref="M18">IFERROR(
SUM(
IF(
(GIRIS_CIKIS!$B$2:$B$1002="GIRIS")*
(GIRIS_CIKIS!$C$2:$C$1002=$A18)*
(GIRIS_CIKIS!$D$2:$D$1002=$B18)*
(GIRIS_CIKIS!$E$2:$E$1002="TURKUAZ"),
GIRIS_CIKIS!$F$2:$F$1002
)
)
-
SUM(
IF(
(GIRIS_CIKIS!$B$2:$B$1002="CIKIS")*
(GIRIS_CIKIS!$C$2:$C$1002=$A18)*
(GIRIS_CIKIS!$D$2:$D$1002=$B18)*
(GIRIS_CIKIS!$E$2:$E$1002="TURKUAZ"),
GIRIS_CIKIS!$F$2:$F$1002
)
),0)</f>
        <v>0</v>
      </c>
      <c r="N18" s="34" cm="1">
        <f t="array" ref="N18">IFERROR(
SUM(
IF(
(GIRIS_CIKIS!$B$2:$B$1002="GIRIS")*
(GIRIS_CIKIS!$C$2:$C$1002=$A18)*
(GIRIS_CIKIS!$D$2:$D$1002=$B18)*
(GIRIS_CIKIS!$E$2:$E$1002="SIYAH"),
GIRIS_CIKIS!$F$2:$F$1002
)
)
-
SUM(
IF(
(GIRIS_CIKIS!$B$2:$B$1002="CIKIS")*
(GIRIS_CIKIS!$C$2:$C$1002=$A18)*
(GIRIS_CIKIS!$D$2:$D$1002=$B18)*
(GIRIS_CIKIS!$E$2:$E$1002="SIYAH"),
GIRIS_CIKIS!$F$2:$F$1002
)
),0)</f>
        <v>0</v>
      </c>
      <c r="O18" s="36" cm="1">
        <f t="array" ref="O18">IFERROR(
SUM(
IF(
(GIRIS_CIKIS!$B$2:$B$1002="GIRIS")*
(GIRIS_CIKIS!$C$2:$C$1002=$A18)*
(GIRIS_CIKIS!$D$2:$D$1002=$B18)*
(GIRIS_CIKIS!$E$2:$E$1002="MAVI"),
GIRIS_CIKIS!$F$2:$F$1002
)
)
-
SUM(
IF(
(GIRIS_CIKIS!$B$2:$B$1002="CIKIS")*
(GIRIS_CIKIS!$C$2:$C$1002=$A18)*
(GIRIS_CIKIS!$D$2:$D$1002=$B18)*
(GIRIS_CIKIS!$E$2:$E$1002="MAVI"),
GIRIS_CIKIS!$F$2:$F$1002
)
),0)</f>
        <v>3</v>
      </c>
      <c r="P18" s="12">
        <f>SUM(C18:O18)</f>
        <v>19</v>
      </c>
      <c r="Q18" s="37" t="s">
        <v>51</v>
      </c>
    </row>
    <row r="19" spans="1:17" x14ac:dyDescent="0.25">
      <c r="A19" s="3" t="s">
        <v>34</v>
      </c>
      <c r="B19" s="10" t="s">
        <v>22</v>
      </c>
      <c r="C19" s="14" cm="1">
        <f t="array" ref="C19">IFERROR(
SUM(
IF(
(GIRIS_CIKIS!$B$2:$B$1002="GIRIS")*
(GIRIS_CIKIS!$C$2:$C$1002=$A19)*
(GIRIS_CIKIS!$D$2:$D$1002=$B19)*
(GIRIS_CIKIS!$E$2:$E$1002="DALDIRMA"),
GIRIS_CIKIS!$F$2:$F$1002
)
)
-
SUM(
IF(
(GIRIS_CIKIS!$B$2:$B$1002="CIKIS")*
(GIRIS_CIKIS!$C$2:$C$1002=$A19)*
(GIRIS_CIKIS!$D$2:$D$1002=$B19)*
(GIRIS_CIKIS!$E$2:$E$1002="DALDIRMA"),
GIRIS_CIKIS!$F$2:$F$1002
)
),0)</f>
        <v>0</v>
      </c>
      <c r="D19" s="16" cm="1">
        <f t="array" ref="D19">IFERROR(
SUM(
IF(
(GIRIS_CIKIS!$B$2:$B$1002="GIRIS")*
(GIRIS_CIKIS!$C$2:$C$1002=$A19)*
(GIRIS_CIKIS!$D$2:$D$1002=$B19)*
(GIRIS_CIKIS!$E$2:$E$1002="YESIL"),
GIRIS_CIKIS!$F$2:$F$1002
)
)
-
SUM(
IF(
(GIRIS_CIKIS!$B$2:$B$1002="CIKIS")*
(GIRIS_CIKIS!$C$2:$C$1002=$A19)*
(GIRIS_CIKIS!$D$2:$D$1002=$B19)*
(GIRIS_CIKIS!$E$2:$E$1002="YESIL"),
GIRIS_CIKIS!$F$2:$F$1002
)
),0)</f>
        <v>8</v>
      </c>
      <c r="E19" s="18" cm="1">
        <f t="array" ref="E19">IFERROR(
SUM(
IF(
(GIRIS_CIKIS!$B$2:$B$1002="GIRIS")*
(GIRIS_CIKIS!$C$2:$C$1002=$A19)*
(GIRIS_CIKIS!$D$2:$D$1002=$B19)*
(GIRIS_CIKIS!$E$2:$E$1002="MOR"),
GIRIS_CIKIS!$F$2:$F$1002
)
)
-
SUM(
IF(
(GIRIS_CIKIS!$B$2:$B$1002="CIKIS")*
(GIRIS_CIKIS!$C$2:$C$1002=$A19)*
(GIRIS_CIKIS!$D$2:$D$1002=$B19)*
(GIRIS_CIKIS!$E$2:$E$1002="MOR"),
GIRIS_CIKIS!$F$2:$F$1002
)
),0)</f>
        <v>2</v>
      </c>
      <c r="F19" s="20" cm="1">
        <f t="array" ref="F19">IFERROR(
SUM(
IF(
(GIRIS_CIKIS!$B$2:$B$1002="GIRIS")*
(GIRIS_CIKIS!$C$2:$C$1002=$A19)*
(GIRIS_CIKIS!$D$2:$D$1002=$B19)*
(GIRIS_CIKIS!$E$2:$E$1002="ACIK SARI"),
GIRIS_CIKIS!$F$2:$F$1002
)
)
-
SUM(
IF(
(GIRIS_CIKIS!$B$2:$B$1002="CIKIS")*
(GIRIS_CIKIS!$C$2:$C$1002=$A19)*
(GIRIS_CIKIS!$D$2:$D$1002=$B19)*
(GIRIS_CIKIS!$E$2:$E$1002="ACIK SARI"),
GIRIS_CIKIS!$F$2:$F$1002
)
),0)</f>
        <v>0</v>
      </c>
      <c r="G19" s="22" cm="1">
        <f t="array" ref="G19">IFERROR(
SUM(
IF(
(GIRIS_CIKIS!$B$2:$B$1002="GIRIS")*
(GIRIS_CIKIS!$C$2:$C$1002=$A19)*
(GIRIS_CIKIS!$D$2:$D$1002=$B19)*
(GIRIS_CIKIS!$E$2:$E$1002="SARI"),
GIRIS_CIKIS!$F$2:$F$1002
)
)
-
SUM(
IF(
(GIRIS_CIKIS!$B$2:$B$1002="CIKIS")*
(GIRIS_CIKIS!$C$2:$C$1002=$A19)*
(GIRIS_CIKIS!$D$2:$D$1002=$B19)*
(GIRIS_CIKIS!$E$2:$E$1002="SARI"),
GIRIS_CIKIS!$F$2:$F$1002
)
),0)</f>
        <v>4</v>
      </c>
      <c r="H19" s="26" cm="1">
        <f t="array" ref="H19">IFERROR(
SUM(
IF(
(GIRIS_CIKIS!$B$2:$B$1002="GIRIS")*
(GIRIS_CIKIS!$C$2:$C$1002=$A19)*
(GIRIS_CIKIS!$D$2:$D$1002=$B19)*
(GIRIS_CIKIS!$E$2:$E$1002="TURUNCU"),
GIRIS_CIKIS!$F$2:$F$1002
)
)
-
SUM(
IF(
(GIRIS_CIKIS!$B$2:$B$1002="CIKIS")*
(GIRIS_CIKIS!$C$2:$C$1002=$A19)*
(GIRIS_CIKIS!$D$2:$D$1002=$B19)*
(GIRIS_CIKIS!$E$2:$E$1002="TURUNCU"),
GIRIS_CIKIS!$F$2:$F$1002
)
),0)</f>
        <v>0</v>
      </c>
      <c r="I19" s="24" cm="1">
        <f t="array" ref="I19">IFERROR(
SUM(
IF(
(GIRIS_CIKIS!$B$2:$B$1002="GIRIS")*
(GIRIS_CIKIS!$C$2:$C$1002=$A19)*
(GIRIS_CIKIS!$D$2:$D$1002=$B19)*
(GIRIS_CIKIS!$E$2:$E$1002="KIRMIZI"),
GIRIS_CIKIS!$F$2:$F$1002
)
)
-
SUM(
IF(
(GIRIS_CIKIS!$B$2:$B$1002="CIKIS")*
(GIRIS_CIKIS!$C$2:$C$1002=$A19)*
(GIRIS_CIKIS!$D$2:$D$1002=$B19)*
(GIRIS_CIKIS!$E$2:$E$1002="KIRMIZI"),
GIRIS_CIKIS!$F$2:$F$1002
)
),0)</f>
        <v>0</v>
      </c>
      <c r="J19" s="28" cm="1">
        <f t="array" ref="J19">IFERROR(
SUM(
IF(
(GIRIS_CIKIS!$B$2:$B$1002="GIRIS")*
(GIRIS_CIKIS!$C$2:$C$1002=$A19)*
(GIRIS_CIKIS!$D$2:$D$1002=$B19)*
(GIRIS_CIKIS!$E$2:$E$1002="KAHVERENGI"),
GIRIS_CIKIS!$F$2:$F$1002
)
)
-
SUM(
IF(
(GIRIS_CIKIS!$B$2:$B$1002="CIKIS")*
(GIRIS_CIKIS!$C$2:$C$1002=$A19)*
(GIRIS_CIKIS!$D$2:$D$1002=$B19)*
(GIRIS_CIKIS!$E$2:$E$1002="KAHVERENGI"),
GIRIS_CIKIS!$F$2:$F$1002
)
),0)</f>
        <v>0</v>
      </c>
      <c r="K19" s="30" cm="1">
        <f t="array" ref="K19">IFERROR(
SUM(
IF(
(GIRIS_CIKIS!$B$2:$B$1002="GIRIS")*
(GIRIS_CIKIS!$C$2:$C$1002=$A19)*
(GIRIS_CIKIS!$D$2:$D$1002=$B19)*
(GIRIS_CIKIS!$E$2:$E$1002="ACIK MOR"),
GIRIS_CIKIS!$F$2:$F$1002
)
)
-
SUM(
IF(
(GIRIS_CIKIS!$B$2:$B$1002="CIKIS")*
(GIRIS_CIKIS!$C$2:$C$1002=$A19)*
(GIRIS_CIKIS!$D$2:$D$1002=$B19)*
(GIRIS_CIKIS!$E$2:$E$1002="ACIK MOR"),
GIRIS_CIKIS!$F$2:$F$1002
)
),0)</f>
        <v>0</v>
      </c>
      <c r="L19" s="14" cm="1">
        <f t="array" ref="L19">IFERROR(
SUM(
IF(
(GIRIS_CIKIS!$B$2:$B$1002="GIRIS")*
(GIRIS_CIKIS!$C$2:$C$1002=$A19)*
(GIRIS_CIKIS!$D$2:$D$1002=$B19)*
(GIRIS_CIKIS!$E$2:$E$1002="GRI"),
GIRIS_CIKIS!$F$2:$F$1002
)
)
-
SUM(
IF(
(GIRIS_CIKIS!$B$2:$B$1002="CIKIS")*
(GIRIS_CIKIS!$C$2:$C$1002=$A19)*
(GIRIS_CIKIS!$D$2:$D$1002=$B19)*
(GIRIS_CIKIS!$E$2:$E$1002="GRI"),
GIRIS_CIKIS!$F$2:$F$1002
)
),0)</f>
        <v>0</v>
      </c>
      <c r="M19" s="32" cm="1">
        <f t="array" ref="M19">IFERROR(
SUM(
IF(
(GIRIS_CIKIS!$B$2:$B$1002="GIRIS")*
(GIRIS_CIKIS!$C$2:$C$1002=$A19)*
(GIRIS_CIKIS!$D$2:$D$1002=$B19)*
(GIRIS_CIKIS!$E$2:$E$1002="TURKUAZ"),
GIRIS_CIKIS!$F$2:$F$1002
)
)
-
SUM(
IF(
(GIRIS_CIKIS!$B$2:$B$1002="CIKIS")*
(GIRIS_CIKIS!$C$2:$C$1002=$A19)*
(GIRIS_CIKIS!$D$2:$D$1002=$B19)*
(GIRIS_CIKIS!$E$2:$E$1002="TURKUAZ"),
GIRIS_CIKIS!$F$2:$F$1002
)
),0)</f>
        <v>0</v>
      </c>
      <c r="N19" s="34" cm="1">
        <f t="array" ref="N19">IFERROR(
SUM(
IF(
(GIRIS_CIKIS!$B$2:$B$1002="GIRIS")*
(GIRIS_CIKIS!$C$2:$C$1002=$A19)*
(GIRIS_CIKIS!$D$2:$D$1002=$B19)*
(GIRIS_CIKIS!$E$2:$E$1002="SIYAH"),
GIRIS_CIKIS!$F$2:$F$1002
)
)
-
SUM(
IF(
(GIRIS_CIKIS!$B$2:$B$1002="CIKIS")*
(GIRIS_CIKIS!$C$2:$C$1002=$A19)*
(GIRIS_CIKIS!$D$2:$D$1002=$B19)*
(GIRIS_CIKIS!$E$2:$E$1002="SIYAH"),
GIRIS_CIKIS!$F$2:$F$1002
)
),0)</f>
        <v>0</v>
      </c>
      <c r="O19" s="36" cm="1">
        <f t="array" ref="O19">IFERROR(
SUM(
IF(
(GIRIS_CIKIS!$B$2:$B$1002="GIRIS")*
(GIRIS_CIKIS!$C$2:$C$1002=$A19)*
(GIRIS_CIKIS!$D$2:$D$1002=$B19)*
(GIRIS_CIKIS!$E$2:$E$1002="MAVI"),
GIRIS_CIKIS!$F$2:$F$1002
)
)
-
SUM(
IF(
(GIRIS_CIKIS!$B$2:$B$1002="CIKIS")*
(GIRIS_CIKIS!$C$2:$C$1002=$A19)*
(GIRIS_CIKIS!$D$2:$D$1002=$B19)*
(GIRIS_CIKIS!$E$2:$E$1002="MAVI"),
GIRIS_CIKIS!$F$2:$F$1002
)
),0)</f>
        <v>5</v>
      </c>
      <c r="P19" s="12">
        <f>SUM(C19:O19)</f>
        <v>19</v>
      </c>
      <c r="Q19" s="37" t="s">
        <v>51</v>
      </c>
    </row>
    <row r="20" spans="1:17" x14ac:dyDescent="0.25">
      <c r="A20" s="3" t="s">
        <v>40</v>
      </c>
      <c r="B20" s="10" t="s">
        <v>23</v>
      </c>
      <c r="C20" s="14" cm="1">
        <f t="array" ref="C20">IFERROR(
SUM(
IF(
(GIRIS_CIKIS!$B$2:$B$1002="GIRIS")*
(GIRIS_CIKIS!$C$2:$C$1002=$A20)*
(GIRIS_CIKIS!$D$2:$D$1002=$B20)*
(GIRIS_CIKIS!$E$2:$E$1002="DALDIRMA"),
GIRIS_CIKIS!$F$2:$F$1002
)
)
-
SUM(
IF(
(GIRIS_CIKIS!$B$2:$B$1002="CIKIS")*
(GIRIS_CIKIS!$C$2:$C$1002=$A20)*
(GIRIS_CIKIS!$D$2:$D$1002=$B20)*
(GIRIS_CIKIS!$E$2:$E$1002="DALDIRMA"),
GIRIS_CIKIS!$F$2:$F$1002
)
),0)</f>
        <v>41</v>
      </c>
      <c r="D20" s="16" cm="1">
        <f t="array" ref="D20">IFERROR(
SUM(
IF(
(GIRIS_CIKIS!$B$2:$B$1002="GIRIS")*
(GIRIS_CIKIS!$C$2:$C$1002=$A20)*
(GIRIS_CIKIS!$D$2:$D$1002=$B20)*
(GIRIS_CIKIS!$E$2:$E$1002="YESIL"),
GIRIS_CIKIS!$F$2:$F$1002
)
)
-
SUM(
IF(
(GIRIS_CIKIS!$B$2:$B$1002="CIKIS")*
(GIRIS_CIKIS!$C$2:$C$1002=$A20)*
(GIRIS_CIKIS!$D$2:$D$1002=$B20)*
(GIRIS_CIKIS!$E$2:$E$1002="YESIL"),
GIRIS_CIKIS!$F$2:$F$1002
)
),0)</f>
        <v>0</v>
      </c>
      <c r="E20" s="18" cm="1">
        <f t="array" ref="E20">IFERROR(
SUM(
IF(
(GIRIS_CIKIS!$B$2:$B$1002="GIRIS")*
(GIRIS_CIKIS!$C$2:$C$1002=$A20)*
(GIRIS_CIKIS!$D$2:$D$1002=$B20)*
(GIRIS_CIKIS!$E$2:$E$1002="MOR"),
GIRIS_CIKIS!$F$2:$F$1002
)
)
-
SUM(
IF(
(GIRIS_CIKIS!$B$2:$B$1002="CIKIS")*
(GIRIS_CIKIS!$C$2:$C$1002=$A20)*
(GIRIS_CIKIS!$D$2:$D$1002=$B20)*
(GIRIS_CIKIS!$E$2:$E$1002="MOR"),
GIRIS_CIKIS!$F$2:$F$1002
)
),0)</f>
        <v>0</v>
      </c>
      <c r="F20" s="20" cm="1">
        <f t="array" ref="F20">IFERROR(
SUM(
IF(
(GIRIS_CIKIS!$B$2:$B$1002="GIRIS")*
(GIRIS_CIKIS!$C$2:$C$1002=$A20)*
(GIRIS_CIKIS!$D$2:$D$1002=$B20)*
(GIRIS_CIKIS!$E$2:$E$1002="ACIK SARI"),
GIRIS_CIKIS!$F$2:$F$1002
)
)
-
SUM(
IF(
(GIRIS_CIKIS!$B$2:$B$1002="CIKIS")*
(GIRIS_CIKIS!$C$2:$C$1002=$A20)*
(GIRIS_CIKIS!$D$2:$D$1002=$B20)*
(GIRIS_CIKIS!$E$2:$E$1002="ACIK SARI"),
GIRIS_CIKIS!$F$2:$F$1002
)
),0)</f>
        <v>0</v>
      </c>
      <c r="G20" s="22" cm="1">
        <f t="array" ref="G20">IFERROR(
SUM(
IF(
(GIRIS_CIKIS!$B$2:$B$1002="GIRIS")*
(GIRIS_CIKIS!$C$2:$C$1002=$A20)*
(GIRIS_CIKIS!$D$2:$D$1002=$B20)*
(GIRIS_CIKIS!$E$2:$E$1002="SARI"),
GIRIS_CIKIS!$F$2:$F$1002
)
)
-
SUM(
IF(
(GIRIS_CIKIS!$B$2:$B$1002="CIKIS")*
(GIRIS_CIKIS!$C$2:$C$1002=$A20)*
(GIRIS_CIKIS!$D$2:$D$1002=$B20)*
(GIRIS_CIKIS!$E$2:$E$1002="SARI"),
GIRIS_CIKIS!$F$2:$F$1002
)
),0)</f>
        <v>0</v>
      </c>
      <c r="H20" s="26" cm="1">
        <f t="array" ref="H20">IFERROR(
SUM(
IF(
(GIRIS_CIKIS!$B$2:$B$1002="GIRIS")*
(GIRIS_CIKIS!$C$2:$C$1002=$A20)*
(GIRIS_CIKIS!$D$2:$D$1002=$B20)*
(GIRIS_CIKIS!$E$2:$E$1002="TURUNCU"),
GIRIS_CIKIS!$F$2:$F$1002
)
)
-
SUM(
IF(
(GIRIS_CIKIS!$B$2:$B$1002="CIKIS")*
(GIRIS_CIKIS!$C$2:$C$1002=$A20)*
(GIRIS_CIKIS!$D$2:$D$1002=$B20)*
(GIRIS_CIKIS!$E$2:$E$1002="TURUNCU"),
GIRIS_CIKIS!$F$2:$F$1002
)
),0)</f>
        <v>0</v>
      </c>
      <c r="I20" s="24" cm="1">
        <f t="array" ref="I20">IFERROR(
SUM(
IF(
(GIRIS_CIKIS!$B$2:$B$1002="GIRIS")*
(GIRIS_CIKIS!$C$2:$C$1002=$A20)*
(GIRIS_CIKIS!$D$2:$D$1002=$B20)*
(GIRIS_CIKIS!$E$2:$E$1002="KIRMIZI"),
GIRIS_CIKIS!$F$2:$F$1002
)
)
-
SUM(
IF(
(GIRIS_CIKIS!$B$2:$B$1002="CIKIS")*
(GIRIS_CIKIS!$C$2:$C$1002=$A20)*
(GIRIS_CIKIS!$D$2:$D$1002=$B20)*
(GIRIS_CIKIS!$E$2:$E$1002="KIRMIZI"),
GIRIS_CIKIS!$F$2:$F$1002
)
),0)</f>
        <v>0</v>
      </c>
      <c r="J20" s="28" cm="1">
        <f t="array" ref="J20">IFERROR(
SUM(
IF(
(GIRIS_CIKIS!$B$2:$B$1002="GIRIS")*
(GIRIS_CIKIS!$C$2:$C$1002=$A20)*
(GIRIS_CIKIS!$D$2:$D$1002=$B20)*
(GIRIS_CIKIS!$E$2:$E$1002="KAHVERENGI"),
GIRIS_CIKIS!$F$2:$F$1002
)
)
-
SUM(
IF(
(GIRIS_CIKIS!$B$2:$B$1002="CIKIS")*
(GIRIS_CIKIS!$C$2:$C$1002=$A20)*
(GIRIS_CIKIS!$D$2:$D$1002=$B20)*
(GIRIS_CIKIS!$E$2:$E$1002="KAHVERENGI"),
GIRIS_CIKIS!$F$2:$F$1002
)
),0)</f>
        <v>0</v>
      </c>
      <c r="K20" s="30" cm="1">
        <f t="array" ref="K20">IFERROR(
SUM(
IF(
(GIRIS_CIKIS!$B$2:$B$1002="GIRIS")*
(GIRIS_CIKIS!$C$2:$C$1002=$A20)*
(GIRIS_CIKIS!$D$2:$D$1002=$B20)*
(GIRIS_CIKIS!$E$2:$E$1002="ACIK MOR"),
GIRIS_CIKIS!$F$2:$F$1002
)
)
-
SUM(
IF(
(GIRIS_CIKIS!$B$2:$B$1002="CIKIS")*
(GIRIS_CIKIS!$C$2:$C$1002=$A20)*
(GIRIS_CIKIS!$D$2:$D$1002=$B20)*
(GIRIS_CIKIS!$E$2:$E$1002="ACIK MOR"),
GIRIS_CIKIS!$F$2:$F$1002
)
),0)</f>
        <v>0</v>
      </c>
      <c r="L20" s="14" cm="1">
        <f t="array" ref="L20">IFERROR(
SUM(
IF(
(GIRIS_CIKIS!$B$2:$B$1002="GIRIS")*
(GIRIS_CIKIS!$C$2:$C$1002=$A20)*
(GIRIS_CIKIS!$D$2:$D$1002=$B20)*
(GIRIS_CIKIS!$E$2:$E$1002="GRI"),
GIRIS_CIKIS!$F$2:$F$1002
)
)
-
SUM(
IF(
(GIRIS_CIKIS!$B$2:$B$1002="CIKIS")*
(GIRIS_CIKIS!$C$2:$C$1002=$A20)*
(GIRIS_CIKIS!$D$2:$D$1002=$B20)*
(GIRIS_CIKIS!$E$2:$E$1002="GRI"),
GIRIS_CIKIS!$F$2:$F$1002
)
),0)</f>
        <v>0</v>
      </c>
      <c r="M20" s="32" cm="1">
        <f t="array" ref="M20">IFERROR(
SUM(
IF(
(GIRIS_CIKIS!$B$2:$B$1002="GIRIS")*
(GIRIS_CIKIS!$C$2:$C$1002=$A20)*
(GIRIS_CIKIS!$D$2:$D$1002=$B20)*
(GIRIS_CIKIS!$E$2:$E$1002="TURKUAZ"),
GIRIS_CIKIS!$F$2:$F$1002
)
)
-
SUM(
IF(
(GIRIS_CIKIS!$B$2:$B$1002="CIKIS")*
(GIRIS_CIKIS!$C$2:$C$1002=$A20)*
(GIRIS_CIKIS!$D$2:$D$1002=$B20)*
(GIRIS_CIKIS!$E$2:$E$1002="TURKUAZ"),
GIRIS_CIKIS!$F$2:$F$1002
)
),0)</f>
        <v>0</v>
      </c>
      <c r="N20" s="34" cm="1">
        <f t="array" ref="N20">IFERROR(
SUM(
IF(
(GIRIS_CIKIS!$B$2:$B$1002="GIRIS")*
(GIRIS_CIKIS!$C$2:$C$1002=$A20)*
(GIRIS_CIKIS!$D$2:$D$1002=$B20)*
(GIRIS_CIKIS!$E$2:$E$1002="SIYAH"),
GIRIS_CIKIS!$F$2:$F$1002
)
)
-
SUM(
IF(
(GIRIS_CIKIS!$B$2:$B$1002="CIKIS")*
(GIRIS_CIKIS!$C$2:$C$1002=$A20)*
(GIRIS_CIKIS!$D$2:$D$1002=$B20)*
(GIRIS_CIKIS!$E$2:$E$1002="SIYAH"),
GIRIS_CIKIS!$F$2:$F$1002
)
),0)</f>
        <v>0</v>
      </c>
      <c r="O20" s="36" cm="1">
        <f t="array" ref="O20">IFERROR(
SUM(
IF(
(GIRIS_CIKIS!$B$2:$B$1002="GIRIS")*
(GIRIS_CIKIS!$C$2:$C$1002=$A20)*
(GIRIS_CIKIS!$D$2:$D$1002=$B20)*
(GIRIS_CIKIS!$E$2:$E$1002="MAVI"),
GIRIS_CIKIS!$F$2:$F$1002
)
)
-
SUM(
IF(
(GIRIS_CIKIS!$B$2:$B$1002="CIKIS")*
(GIRIS_CIKIS!$C$2:$C$1002=$A20)*
(GIRIS_CIKIS!$D$2:$D$1002=$B20)*
(GIRIS_CIKIS!$E$2:$E$1002="MAVI"),
GIRIS_CIKIS!$F$2:$F$1002
)
),0)</f>
        <v>0</v>
      </c>
      <c r="P20" s="12">
        <f>SUM(C20:O20)</f>
        <v>41</v>
      </c>
      <c r="Q20" s="37" t="s">
        <v>51</v>
      </c>
    </row>
    <row r="21" spans="1:17" x14ac:dyDescent="0.25">
      <c r="A21" s="3" t="s">
        <v>40</v>
      </c>
      <c r="B21" s="10" t="s">
        <v>24</v>
      </c>
      <c r="C21" s="14" cm="1">
        <f t="array" ref="C21">IFERROR(
SUM(
IF(
(GIRIS_CIKIS!$B$2:$B$1002="GIRIS")*
(GIRIS_CIKIS!$C$2:$C$1002=$A21)*
(GIRIS_CIKIS!$D$2:$D$1002=$B21)*
(GIRIS_CIKIS!$E$2:$E$1002="DALDIRMA"),
GIRIS_CIKIS!$F$2:$F$1002
)
)
-
SUM(
IF(
(GIRIS_CIKIS!$B$2:$B$1002="CIKIS")*
(GIRIS_CIKIS!$C$2:$C$1002=$A21)*
(GIRIS_CIKIS!$D$2:$D$1002=$B21)*
(GIRIS_CIKIS!$E$2:$E$1002="DALDIRMA"),
GIRIS_CIKIS!$F$2:$F$1002
)
),0)</f>
        <v>26</v>
      </c>
      <c r="D21" s="16" cm="1">
        <f t="array" ref="D21">IFERROR(
SUM(
IF(
(GIRIS_CIKIS!$B$2:$B$1002="GIRIS")*
(GIRIS_CIKIS!$C$2:$C$1002=$A21)*
(GIRIS_CIKIS!$D$2:$D$1002=$B21)*
(GIRIS_CIKIS!$E$2:$E$1002="YESIL"),
GIRIS_CIKIS!$F$2:$F$1002
)
)
-
SUM(
IF(
(GIRIS_CIKIS!$B$2:$B$1002="CIKIS")*
(GIRIS_CIKIS!$C$2:$C$1002=$A21)*
(GIRIS_CIKIS!$D$2:$D$1002=$B21)*
(GIRIS_CIKIS!$E$2:$E$1002="YESIL"),
GIRIS_CIKIS!$F$2:$F$1002
)
),0)</f>
        <v>0</v>
      </c>
      <c r="E21" s="18" cm="1">
        <f t="array" ref="E21">IFERROR(
SUM(
IF(
(GIRIS_CIKIS!$B$2:$B$1002="GIRIS")*
(GIRIS_CIKIS!$C$2:$C$1002=$A21)*
(GIRIS_CIKIS!$D$2:$D$1002=$B21)*
(GIRIS_CIKIS!$E$2:$E$1002="MOR"),
GIRIS_CIKIS!$F$2:$F$1002
)
)
-
SUM(
IF(
(GIRIS_CIKIS!$B$2:$B$1002="CIKIS")*
(GIRIS_CIKIS!$C$2:$C$1002=$A21)*
(GIRIS_CIKIS!$D$2:$D$1002=$B21)*
(GIRIS_CIKIS!$E$2:$E$1002="MOR"),
GIRIS_CIKIS!$F$2:$F$1002
)
),0)</f>
        <v>0</v>
      </c>
      <c r="F21" s="20" cm="1">
        <f t="array" ref="F21">IFERROR(
SUM(
IF(
(GIRIS_CIKIS!$B$2:$B$1002="GIRIS")*
(GIRIS_CIKIS!$C$2:$C$1002=$A21)*
(GIRIS_CIKIS!$D$2:$D$1002=$B21)*
(GIRIS_CIKIS!$E$2:$E$1002="ACIK SARI"),
GIRIS_CIKIS!$F$2:$F$1002
)
)
-
SUM(
IF(
(GIRIS_CIKIS!$B$2:$B$1002="CIKIS")*
(GIRIS_CIKIS!$C$2:$C$1002=$A21)*
(GIRIS_CIKIS!$D$2:$D$1002=$B21)*
(GIRIS_CIKIS!$E$2:$E$1002="ACIK SARI"),
GIRIS_CIKIS!$F$2:$F$1002
)
),0)</f>
        <v>0</v>
      </c>
      <c r="G21" s="22" cm="1">
        <f t="array" ref="G21">IFERROR(
SUM(
IF(
(GIRIS_CIKIS!$B$2:$B$1002="GIRIS")*
(GIRIS_CIKIS!$C$2:$C$1002=$A21)*
(GIRIS_CIKIS!$D$2:$D$1002=$B21)*
(GIRIS_CIKIS!$E$2:$E$1002="SARI"),
GIRIS_CIKIS!$F$2:$F$1002
)
)
-
SUM(
IF(
(GIRIS_CIKIS!$B$2:$B$1002="CIKIS")*
(GIRIS_CIKIS!$C$2:$C$1002=$A21)*
(GIRIS_CIKIS!$D$2:$D$1002=$B21)*
(GIRIS_CIKIS!$E$2:$E$1002="SARI"),
GIRIS_CIKIS!$F$2:$F$1002
)
),0)</f>
        <v>0</v>
      </c>
      <c r="H21" s="26" cm="1">
        <f t="array" ref="H21">IFERROR(
SUM(
IF(
(GIRIS_CIKIS!$B$2:$B$1002="GIRIS")*
(GIRIS_CIKIS!$C$2:$C$1002=$A21)*
(GIRIS_CIKIS!$D$2:$D$1002=$B21)*
(GIRIS_CIKIS!$E$2:$E$1002="TURUNCU"),
GIRIS_CIKIS!$F$2:$F$1002
)
)
-
SUM(
IF(
(GIRIS_CIKIS!$B$2:$B$1002="CIKIS")*
(GIRIS_CIKIS!$C$2:$C$1002=$A21)*
(GIRIS_CIKIS!$D$2:$D$1002=$B21)*
(GIRIS_CIKIS!$E$2:$E$1002="TURUNCU"),
GIRIS_CIKIS!$F$2:$F$1002
)
),0)</f>
        <v>0</v>
      </c>
      <c r="I21" s="24" cm="1">
        <f t="array" ref="I21">IFERROR(
SUM(
IF(
(GIRIS_CIKIS!$B$2:$B$1002="GIRIS")*
(GIRIS_CIKIS!$C$2:$C$1002=$A21)*
(GIRIS_CIKIS!$D$2:$D$1002=$B21)*
(GIRIS_CIKIS!$E$2:$E$1002="KIRMIZI"),
GIRIS_CIKIS!$F$2:$F$1002
)
)
-
SUM(
IF(
(GIRIS_CIKIS!$B$2:$B$1002="CIKIS")*
(GIRIS_CIKIS!$C$2:$C$1002=$A21)*
(GIRIS_CIKIS!$D$2:$D$1002=$B21)*
(GIRIS_CIKIS!$E$2:$E$1002="KIRMIZI"),
GIRIS_CIKIS!$F$2:$F$1002
)
),0)</f>
        <v>0</v>
      </c>
      <c r="J21" s="28" cm="1">
        <f t="array" ref="J21">IFERROR(
SUM(
IF(
(GIRIS_CIKIS!$B$2:$B$1002="GIRIS")*
(GIRIS_CIKIS!$C$2:$C$1002=$A21)*
(GIRIS_CIKIS!$D$2:$D$1002=$B21)*
(GIRIS_CIKIS!$E$2:$E$1002="KAHVERENGI"),
GIRIS_CIKIS!$F$2:$F$1002
)
)
-
SUM(
IF(
(GIRIS_CIKIS!$B$2:$B$1002="CIKIS")*
(GIRIS_CIKIS!$C$2:$C$1002=$A21)*
(GIRIS_CIKIS!$D$2:$D$1002=$B21)*
(GIRIS_CIKIS!$E$2:$E$1002="KAHVERENGI"),
GIRIS_CIKIS!$F$2:$F$1002
)
),0)</f>
        <v>0</v>
      </c>
      <c r="K21" s="30" cm="1">
        <f t="array" ref="K21">IFERROR(
SUM(
IF(
(GIRIS_CIKIS!$B$2:$B$1002="GIRIS")*
(GIRIS_CIKIS!$C$2:$C$1002=$A21)*
(GIRIS_CIKIS!$D$2:$D$1002=$B21)*
(GIRIS_CIKIS!$E$2:$E$1002="ACIK MOR"),
GIRIS_CIKIS!$F$2:$F$1002
)
)
-
SUM(
IF(
(GIRIS_CIKIS!$B$2:$B$1002="CIKIS")*
(GIRIS_CIKIS!$C$2:$C$1002=$A21)*
(GIRIS_CIKIS!$D$2:$D$1002=$B21)*
(GIRIS_CIKIS!$E$2:$E$1002="ACIK MOR"),
GIRIS_CIKIS!$F$2:$F$1002
)
),0)</f>
        <v>0</v>
      </c>
      <c r="L21" s="14" cm="1">
        <f t="array" ref="L21">IFERROR(
SUM(
IF(
(GIRIS_CIKIS!$B$2:$B$1002="GIRIS")*
(GIRIS_CIKIS!$C$2:$C$1002=$A21)*
(GIRIS_CIKIS!$D$2:$D$1002=$B21)*
(GIRIS_CIKIS!$E$2:$E$1002="GRI"),
GIRIS_CIKIS!$F$2:$F$1002
)
)
-
SUM(
IF(
(GIRIS_CIKIS!$B$2:$B$1002="CIKIS")*
(GIRIS_CIKIS!$C$2:$C$1002=$A21)*
(GIRIS_CIKIS!$D$2:$D$1002=$B21)*
(GIRIS_CIKIS!$E$2:$E$1002="GRI"),
GIRIS_CIKIS!$F$2:$F$1002
)
),0)</f>
        <v>0</v>
      </c>
      <c r="M21" s="32" cm="1">
        <f t="array" ref="M21">IFERROR(
SUM(
IF(
(GIRIS_CIKIS!$B$2:$B$1002="GIRIS")*
(GIRIS_CIKIS!$C$2:$C$1002=$A21)*
(GIRIS_CIKIS!$D$2:$D$1002=$B21)*
(GIRIS_CIKIS!$E$2:$E$1002="TURKUAZ"),
GIRIS_CIKIS!$F$2:$F$1002
)
)
-
SUM(
IF(
(GIRIS_CIKIS!$B$2:$B$1002="CIKIS")*
(GIRIS_CIKIS!$C$2:$C$1002=$A21)*
(GIRIS_CIKIS!$D$2:$D$1002=$B21)*
(GIRIS_CIKIS!$E$2:$E$1002="TURKUAZ"),
GIRIS_CIKIS!$F$2:$F$1002
)
),0)</f>
        <v>0</v>
      </c>
      <c r="N21" s="34" cm="1">
        <f t="array" ref="N21">IFERROR(
SUM(
IF(
(GIRIS_CIKIS!$B$2:$B$1002="GIRIS")*
(GIRIS_CIKIS!$C$2:$C$1002=$A21)*
(GIRIS_CIKIS!$D$2:$D$1002=$B21)*
(GIRIS_CIKIS!$E$2:$E$1002="SIYAH"),
GIRIS_CIKIS!$F$2:$F$1002
)
)
-
SUM(
IF(
(GIRIS_CIKIS!$B$2:$B$1002="CIKIS")*
(GIRIS_CIKIS!$C$2:$C$1002=$A21)*
(GIRIS_CIKIS!$D$2:$D$1002=$B21)*
(GIRIS_CIKIS!$E$2:$E$1002="SIYAH"),
GIRIS_CIKIS!$F$2:$F$1002
)
),0)</f>
        <v>0</v>
      </c>
      <c r="O21" s="36" cm="1">
        <f t="array" ref="O21">IFERROR(
SUM(
IF(
(GIRIS_CIKIS!$B$2:$B$1002="GIRIS")*
(GIRIS_CIKIS!$C$2:$C$1002=$A21)*
(GIRIS_CIKIS!$D$2:$D$1002=$B21)*
(GIRIS_CIKIS!$E$2:$E$1002="MAVI"),
GIRIS_CIKIS!$F$2:$F$1002
)
)
-
SUM(
IF(
(GIRIS_CIKIS!$B$2:$B$1002="CIKIS")*
(GIRIS_CIKIS!$C$2:$C$1002=$A21)*
(GIRIS_CIKIS!$D$2:$D$1002=$B21)*
(GIRIS_CIKIS!$E$2:$E$1002="MAVI"),
GIRIS_CIKIS!$F$2:$F$1002
)
),0)</f>
        <v>0</v>
      </c>
      <c r="P21" s="12">
        <f>SUM(C21:O21)</f>
        <v>26</v>
      </c>
      <c r="Q21" s="37" t="s">
        <v>51</v>
      </c>
    </row>
    <row r="22" spans="1:17" x14ac:dyDescent="0.25">
      <c r="A22" s="3" t="s">
        <v>40</v>
      </c>
      <c r="B22" s="10" t="s">
        <v>25</v>
      </c>
      <c r="C22" s="14" cm="1">
        <f t="array" ref="C22">IFERROR(
SUM(
IF(
(GIRIS_CIKIS!$B$2:$B$1002="GIRIS")*
(GIRIS_CIKIS!$C$2:$C$1002=$A22)*
(GIRIS_CIKIS!$D$2:$D$1002=$B22)*
(GIRIS_CIKIS!$E$2:$E$1002="DALDIRMA"),
GIRIS_CIKIS!$F$2:$F$1002
)
)
-
SUM(
IF(
(GIRIS_CIKIS!$B$2:$B$1002="CIKIS")*
(GIRIS_CIKIS!$C$2:$C$1002=$A22)*
(GIRIS_CIKIS!$D$2:$D$1002=$B22)*
(GIRIS_CIKIS!$E$2:$E$1002="DALDIRMA"),
GIRIS_CIKIS!$F$2:$F$1002
)
),0)</f>
        <v>29</v>
      </c>
      <c r="D22" s="16" cm="1">
        <f t="array" ref="D22">IFERROR(
SUM(
IF(
(GIRIS_CIKIS!$B$2:$B$1002="GIRIS")*
(GIRIS_CIKIS!$C$2:$C$1002=$A22)*
(GIRIS_CIKIS!$D$2:$D$1002=$B22)*
(GIRIS_CIKIS!$E$2:$E$1002="YESIL"),
GIRIS_CIKIS!$F$2:$F$1002
)
)
-
SUM(
IF(
(GIRIS_CIKIS!$B$2:$B$1002="CIKIS")*
(GIRIS_CIKIS!$C$2:$C$1002=$A22)*
(GIRIS_CIKIS!$D$2:$D$1002=$B22)*
(GIRIS_CIKIS!$E$2:$E$1002="YESIL"),
GIRIS_CIKIS!$F$2:$F$1002
)
),0)</f>
        <v>0</v>
      </c>
      <c r="E22" s="18" cm="1">
        <f t="array" ref="E22">IFERROR(
SUM(
IF(
(GIRIS_CIKIS!$B$2:$B$1002="GIRIS")*
(GIRIS_CIKIS!$C$2:$C$1002=$A22)*
(GIRIS_CIKIS!$D$2:$D$1002=$B22)*
(GIRIS_CIKIS!$E$2:$E$1002="MOR"),
GIRIS_CIKIS!$F$2:$F$1002
)
)
-
SUM(
IF(
(GIRIS_CIKIS!$B$2:$B$1002="CIKIS")*
(GIRIS_CIKIS!$C$2:$C$1002=$A22)*
(GIRIS_CIKIS!$D$2:$D$1002=$B22)*
(GIRIS_CIKIS!$E$2:$E$1002="MOR"),
GIRIS_CIKIS!$F$2:$F$1002
)
),0)</f>
        <v>0</v>
      </c>
      <c r="F22" s="20" cm="1">
        <f t="array" ref="F22">IFERROR(
SUM(
IF(
(GIRIS_CIKIS!$B$2:$B$1002="GIRIS")*
(GIRIS_CIKIS!$C$2:$C$1002=$A22)*
(GIRIS_CIKIS!$D$2:$D$1002=$B22)*
(GIRIS_CIKIS!$E$2:$E$1002="ACIK SARI"),
GIRIS_CIKIS!$F$2:$F$1002
)
)
-
SUM(
IF(
(GIRIS_CIKIS!$B$2:$B$1002="CIKIS")*
(GIRIS_CIKIS!$C$2:$C$1002=$A22)*
(GIRIS_CIKIS!$D$2:$D$1002=$B22)*
(GIRIS_CIKIS!$E$2:$E$1002="ACIK SARI"),
GIRIS_CIKIS!$F$2:$F$1002
)
),0)</f>
        <v>0</v>
      </c>
      <c r="G22" s="22" cm="1">
        <f t="array" ref="G22">IFERROR(
SUM(
IF(
(GIRIS_CIKIS!$B$2:$B$1002="GIRIS")*
(GIRIS_CIKIS!$C$2:$C$1002=$A22)*
(GIRIS_CIKIS!$D$2:$D$1002=$B22)*
(GIRIS_CIKIS!$E$2:$E$1002="SARI"),
GIRIS_CIKIS!$F$2:$F$1002
)
)
-
SUM(
IF(
(GIRIS_CIKIS!$B$2:$B$1002="CIKIS")*
(GIRIS_CIKIS!$C$2:$C$1002=$A22)*
(GIRIS_CIKIS!$D$2:$D$1002=$B22)*
(GIRIS_CIKIS!$E$2:$E$1002="SARI"),
GIRIS_CIKIS!$F$2:$F$1002
)
),0)</f>
        <v>0</v>
      </c>
      <c r="H22" s="26" cm="1">
        <f t="array" ref="H22">IFERROR(
SUM(
IF(
(GIRIS_CIKIS!$B$2:$B$1002="GIRIS")*
(GIRIS_CIKIS!$C$2:$C$1002=$A22)*
(GIRIS_CIKIS!$D$2:$D$1002=$B22)*
(GIRIS_CIKIS!$E$2:$E$1002="TURUNCU"),
GIRIS_CIKIS!$F$2:$F$1002
)
)
-
SUM(
IF(
(GIRIS_CIKIS!$B$2:$B$1002="CIKIS")*
(GIRIS_CIKIS!$C$2:$C$1002=$A22)*
(GIRIS_CIKIS!$D$2:$D$1002=$B22)*
(GIRIS_CIKIS!$E$2:$E$1002="TURUNCU"),
GIRIS_CIKIS!$F$2:$F$1002
)
),0)</f>
        <v>0</v>
      </c>
      <c r="I22" s="24" cm="1">
        <f t="array" ref="I22">IFERROR(
SUM(
IF(
(GIRIS_CIKIS!$B$2:$B$1002="GIRIS")*
(GIRIS_CIKIS!$C$2:$C$1002=$A22)*
(GIRIS_CIKIS!$D$2:$D$1002=$B22)*
(GIRIS_CIKIS!$E$2:$E$1002="KIRMIZI"),
GIRIS_CIKIS!$F$2:$F$1002
)
)
-
SUM(
IF(
(GIRIS_CIKIS!$B$2:$B$1002="CIKIS")*
(GIRIS_CIKIS!$C$2:$C$1002=$A22)*
(GIRIS_CIKIS!$D$2:$D$1002=$B22)*
(GIRIS_CIKIS!$E$2:$E$1002="KIRMIZI"),
GIRIS_CIKIS!$F$2:$F$1002
)
),0)</f>
        <v>0</v>
      </c>
      <c r="J22" s="28" cm="1">
        <f t="array" ref="J22">IFERROR(
SUM(
IF(
(GIRIS_CIKIS!$B$2:$B$1002="GIRIS")*
(GIRIS_CIKIS!$C$2:$C$1002=$A22)*
(GIRIS_CIKIS!$D$2:$D$1002=$B22)*
(GIRIS_CIKIS!$E$2:$E$1002="KAHVERENGI"),
GIRIS_CIKIS!$F$2:$F$1002
)
)
-
SUM(
IF(
(GIRIS_CIKIS!$B$2:$B$1002="CIKIS")*
(GIRIS_CIKIS!$C$2:$C$1002=$A22)*
(GIRIS_CIKIS!$D$2:$D$1002=$B22)*
(GIRIS_CIKIS!$E$2:$E$1002="KAHVERENGI"),
GIRIS_CIKIS!$F$2:$F$1002
)
),0)</f>
        <v>0</v>
      </c>
      <c r="K22" s="30" cm="1">
        <f t="array" ref="K22">IFERROR(
SUM(
IF(
(GIRIS_CIKIS!$B$2:$B$1002="GIRIS")*
(GIRIS_CIKIS!$C$2:$C$1002=$A22)*
(GIRIS_CIKIS!$D$2:$D$1002=$B22)*
(GIRIS_CIKIS!$E$2:$E$1002="ACIK MOR"),
GIRIS_CIKIS!$F$2:$F$1002
)
)
-
SUM(
IF(
(GIRIS_CIKIS!$B$2:$B$1002="CIKIS")*
(GIRIS_CIKIS!$C$2:$C$1002=$A22)*
(GIRIS_CIKIS!$D$2:$D$1002=$B22)*
(GIRIS_CIKIS!$E$2:$E$1002="ACIK MOR"),
GIRIS_CIKIS!$F$2:$F$1002
)
),0)</f>
        <v>0</v>
      </c>
      <c r="L22" s="14" cm="1">
        <f t="array" ref="L22">IFERROR(
SUM(
IF(
(GIRIS_CIKIS!$B$2:$B$1002="GIRIS")*
(GIRIS_CIKIS!$C$2:$C$1002=$A22)*
(GIRIS_CIKIS!$D$2:$D$1002=$B22)*
(GIRIS_CIKIS!$E$2:$E$1002="GRI"),
GIRIS_CIKIS!$F$2:$F$1002
)
)
-
SUM(
IF(
(GIRIS_CIKIS!$B$2:$B$1002="CIKIS")*
(GIRIS_CIKIS!$C$2:$C$1002=$A22)*
(GIRIS_CIKIS!$D$2:$D$1002=$B22)*
(GIRIS_CIKIS!$E$2:$E$1002="GRI"),
GIRIS_CIKIS!$F$2:$F$1002
)
),0)</f>
        <v>0</v>
      </c>
      <c r="M22" s="32" cm="1">
        <f t="array" ref="M22">IFERROR(
SUM(
IF(
(GIRIS_CIKIS!$B$2:$B$1002="GIRIS")*
(GIRIS_CIKIS!$C$2:$C$1002=$A22)*
(GIRIS_CIKIS!$D$2:$D$1002=$B22)*
(GIRIS_CIKIS!$E$2:$E$1002="TURKUAZ"),
GIRIS_CIKIS!$F$2:$F$1002
)
)
-
SUM(
IF(
(GIRIS_CIKIS!$B$2:$B$1002="CIKIS")*
(GIRIS_CIKIS!$C$2:$C$1002=$A22)*
(GIRIS_CIKIS!$D$2:$D$1002=$B22)*
(GIRIS_CIKIS!$E$2:$E$1002="TURKUAZ"),
GIRIS_CIKIS!$F$2:$F$1002
)
),0)</f>
        <v>0</v>
      </c>
      <c r="N22" s="34" cm="1">
        <f t="array" ref="N22">IFERROR(
SUM(
IF(
(GIRIS_CIKIS!$B$2:$B$1002="GIRIS")*
(GIRIS_CIKIS!$C$2:$C$1002=$A22)*
(GIRIS_CIKIS!$D$2:$D$1002=$B22)*
(GIRIS_CIKIS!$E$2:$E$1002="SIYAH"),
GIRIS_CIKIS!$F$2:$F$1002
)
)
-
SUM(
IF(
(GIRIS_CIKIS!$B$2:$B$1002="CIKIS")*
(GIRIS_CIKIS!$C$2:$C$1002=$A22)*
(GIRIS_CIKIS!$D$2:$D$1002=$B22)*
(GIRIS_CIKIS!$E$2:$E$1002="SIYAH"),
GIRIS_CIKIS!$F$2:$F$1002
)
),0)</f>
        <v>0</v>
      </c>
      <c r="O22" s="36" cm="1">
        <f t="array" ref="O22">IFERROR(
SUM(
IF(
(GIRIS_CIKIS!$B$2:$B$1002="GIRIS")*
(GIRIS_CIKIS!$C$2:$C$1002=$A22)*
(GIRIS_CIKIS!$D$2:$D$1002=$B22)*
(GIRIS_CIKIS!$E$2:$E$1002="MAVI"),
GIRIS_CIKIS!$F$2:$F$1002
)
)
-
SUM(
IF(
(GIRIS_CIKIS!$B$2:$B$1002="CIKIS")*
(GIRIS_CIKIS!$C$2:$C$1002=$A22)*
(GIRIS_CIKIS!$D$2:$D$1002=$B22)*
(GIRIS_CIKIS!$E$2:$E$1002="MAVI"),
GIRIS_CIKIS!$F$2:$F$1002
)
),0)</f>
        <v>0</v>
      </c>
      <c r="P22" s="12">
        <f>SUM(C22:O22)</f>
        <v>29</v>
      </c>
      <c r="Q22" s="37" t="s">
        <v>51</v>
      </c>
    </row>
    <row r="23" spans="1:17" x14ac:dyDescent="0.25">
      <c r="A23" s="3" t="s">
        <v>40</v>
      </c>
      <c r="B23" s="10" t="s">
        <v>26</v>
      </c>
      <c r="C23" s="14" cm="1">
        <f t="array" ref="C23">IFERROR(
SUM(
IF(
(GIRIS_CIKIS!$B$2:$B$1002="GIRIS")*
(GIRIS_CIKIS!$C$2:$C$1002=$A23)*
(GIRIS_CIKIS!$D$2:$D$1002=$B23)*
(GIRIS_CIKIS!$E$2:$E$1002="DALDIRMA"),
GIRIS_CIKIS!$F$2:$F$1002
)
)
-
SUM(
IF(
(GIRIS_CIKIS!$B$2:$B$1002="CIKIS")*
(GIRIS_CIKIS!$C$2:$C$1002=$A23)*
(GIRIS_CIKIS!$D$2:$D$1002=$B23)*
(GIRIS_CIKIS!$E$2:$E$1002="DALDIRMA"),
GIRIS_CIKIS!$F$2:$F$1002
)
),0)</f>
        <v>54</v>
      </c>
      <c r="D23" s="16" cm="1">
        <f t="array" ref="D23">IFERROR(
SUM(
IF(
(GIRIS_CIKIS!$B$2:$B$1002="GIRIS")*
(GIRIS_CIKIS!$C$2:$C$1002=$A23)*
(GIRIS_CIKIS!$D$2:$D$1002=$B23)*
(GIRIS_CIKIS!$E$2:$E$1002="YESIL"),
GIRIS_CIKIS!$F$2:$F$1002
)
)
-
SUM(
IF(
(GIRIS_CIKIS!$B$2:$B$1002="CIKIS")*
(GIRIS_CIKIS!$C$2:$C$1002=$A23)*
(GIRIS_CIKIS!$D$2:$D$1002=$B23)*
(GIRIS_CIKIS!$E$2:$E$1002="YESIL"),
GIRIS_CIKIS!$F$2:$F$1002
)
),0)</f>
        <v>0</v>
      </c>
      <c r="E23" s="18" cm="1">
        <f t="array" ref="E23">IFERROR(
SUM(
IF(
(GIRIS_CIKIS!$B$2:$B$1002="GIRIS")*
(GIRIS_CIKIS!$C$2:$C$1002=$A23)*
(GIRIS_CIKIS!$D$2:$D$1002=$B23)*
(GIRIS_CIKIS!$E$2:$E$1002="MOR"),
GIRIS_CIKIS!$F$2:$F$1002
)
)
-
SUM(
IF(
(GIRIS_CIKIS!$B$2:$B$1002="CIKIS")*
(GIRIS_CIKIS!$C$2:$C$1002=$A23)*
(GIRIS_CIKIS!$D$2:$D$1002=$B23)*
(GIRIS_CIKIS!$E$2:$E$1002="MOR"),
GIRIS_CIKIS!$F$2:$F$1002
)
),0)</f>
        <v>0</v>
      </c>
      <c r="F23" s="20" cm="1">
        <f t="array" ref="F23">IFERROR(
SUM(
IF(
(GIRIS_CIKIS!$B$2:$B$1002="GIRIS")*
(GIRIS_CIKIS!$C$2:$C$1002=$A23)*
(GIRIS_CIKIS!$D$2:$D$1002=$B23)*
(GIRIS_CIKIS!$E$2:$E$1002="ACIK SARI"),
GIRIS_CIKIS!$F$2:$F$1002
)
)
-
SUM(
IF(
(GIRIS_CIKIS!$B$2:$B$1002="CIKIS")*
(GIRIS_CIKIS!$C$2:$C$1002=$A23)*
(GIRIS_CIKIS!$D$2:$D$1002=$B23)*
(GIRIS_CIKIS!$E$2:$E$1002="ACIK SARI"),
GIRIS_CIKIS!$F$2:$F$1002
)
),0)</f>
        <v>0</v>
      </c>
      <c r="G23" s="22" cm="1">
        <f t="array" ref="G23">IFERROR(
SUM(
IF(
(GIRIS_CIKIS!$B$2:$B$1002="GIRIS")*
(GIRIS_CIKIS!$C$2:$C$1002=$A23)*
(GIRIS_CIKIS!$D$2:$D$1002=$B23)*
(GIRIS_CIKIS!$E$2:$E$1002="SARI"),
GIRIS_CIKIS!$F$2:$F$1002
)
)
-
SUM(
IF(
(GIRIS_CIKIS!$B$2:$B$1002="CIKIS")*
(GIRIS_CIKIS!$C$2:$C$1002=$A23)*
(GIRIS_CIKIS!$D$2:$D$1002=$B23)*
(GIRIS_CIKIS!$E$2:$E$1002="SARI"),
GIRIS_CIKIS!$F$2:$F$1002
)
),0)</f>
        <v>0</v>
      </c>
      <c r="H23" s="26" cm="1">
        <f t="array" ref="H23">IFERROR(
SUM(
IF(
(GIRIS_CIKIS!$B$2:$B$1002="GIRIS")*
(GIRIS_CIKIS!$C$2:$C$1002=$A23)*
(GIRIS_CIKIS!$D$2:$D$1002=$B23)*
(GIRIS_CIKIS!$E$2:$E$1002="TURUNCU"),
GIRIS_CIKIS!$F$2:$F$1002
)
)
-
SUM(
IF(
(GIRIS_CIKIS!$B$2:$B$1002="CIKIS")*
(GIRIS_CIKIS!$C$2:$C$1002=$A23)*
(GIRIS_CIKIS!$D$2:$D$1002=$B23)*
(GIRIS_CIKIS!$E$2:$E$1002="TURUNCU"),
GIRIS_CIKIS!$F$2:$F$1002
)
),0)</f>
        <v>0</v>
      </c>
      <c r="I23" s="24" cm="1">
        <f t="array" ref="I23">IFERROR(
SUM(
IF(
(GIRIS_CIKIS!$B$2:$B$1002="GIRIS")*
(GIRIS_CIKIS!$C$2:$C$1002=$A23)*
(GIRIS_CIKIS!$D$2:$D$1002=$B23)*
(GIRIS_CIKIS!$E$2:$E$1002="KIRMIZI"),
GIRIS_CIKIS!$F$2:$F$1002
)
)
-
SUM(
IF(
(GIRIS_CIKIS!$B$2:$B$1002="CIKIS")*
(GIRIS_CIKIS!$C$2:$C$1002=$A23)*
(GIRIS_CIKIS!$D$2:$D$1002=$B23)*
(GIRIS_CIKIS!$E$2:$E$1002="KIRMIZI"),
GIRIS_CIKIS!$F$2:$F$1002
)
),0)</f>
        <v>0</v>
      </c>
      <c r="J23" s="28" cm="1">
        <f t="array" ref="J23">IFERROR(
SUM(
IF(
(GIRIS_CIKIS!$B$2:$B$1002="GIRIS")*
(GIRIS_CIKIS!$C$2:$C$1002=$A23)*
(GIRIS_CIKIS!$D$2:$D$1002=$B23)*
(GIRIS_CIKIS!$E$2:$E$1002="KAHVERENGI"),
GIRIS_CIKIS!$F$2:$F$1002
)
)
-
SUM(
IF(
(GIRIS_CIKIS!$B$2:$B$1002="CIKIS")*
(GIRIS_CIKIS!$C$2:$C$1002=$A23)*
(GIRIS_CIKIS!$D$2:$D$1002=$B23)*
(GIRIS_CIKIS!$E$2:$E$1002="KAHVERENGI"),
GIRIS_CIKIS!$F$2:$F$1002
)
),0)</f>
        <v>0</v>
      </c>
      <c r="K23" s="30" cm="1">
        <f t="array" ref="K23">IFERROR(
SUM(
IF(
(GIRIS_CIKIS!$B$2:$B$1002="GIRIS")*
(GIRIS_CIKIS!$C$2:$C$1002=$A23)*
(GIRIS_CIKIS!$D$2:$D$1002=$B23)*
(GIRIS_CIKIS!$E$2:$E$1002="ACIK MOR"),
GIRIS_CIKIS!$F$2:$F$1002
)
)
-
SUM(
IF(
(GIRIS_CIKIS!$B$2:$B$1002="CIKIS")*
(GIRIS_CIKIS!$C$2:$C$1002=$A23)*
(GIRIS_CIKIS!$D$2:$D$1002=$B23)*
(GIRIS_CIKIS!$E$2:$E$1002="ACIK MOR"),
GIRIS_CIKIS!$F$2:$F$1002
)
),0)</f>
        <v>0</v>
      </c>
      <c r="L23" s="14" cm="1">
        <f t="array" ref="L23">IFERROR(
SUM(
IF(
(GIRIS_CIKIS!$B$2:$B$1002="GIRIS")*
(GIRIS_CIKIS!$C$2:$C$1002=$A23)*
(GIRIS_CIKIS!$D$2:$D$1002=$B23)*
(GIRIS_CIKIS!$E$2:$E$1002="GRI"),
GIRIS_CIKIS!$F$2:$F$1002
)
)
-
SUM(
IF(
(GIRIS_CIKIS!$B$2:$B$1002="CIKIS")*
(GIRIS_CIKIS!$C$2:$C$1002=$A23)*
(GIRIS_CIKIS!$D$2:$D$1002=$B23)*
(GIRIS_CIKIS!$E$2:$E$1002="GRI"),
GIRIS_CIKIS!$F$2:$F$1002
)
),0)</f>
        <v>0</v>
      </c>
      <c r="M23" s="32" cm="1">
        <f t="array" ref="M23">IFERROR(
SUM(
IF(
(GIRIS_CIKIS!$B$2:$B$1002="GIRIS")*
(GIRIS_CIKIS!$C$2:$C$1002=$A23)*
(GIRIS_CIKIS!$D$2:$D$1002=$B23)*
(GIRIS_CIKIS!$E$2:$E$1002="TURKUAZ"),
GIRIS_CIKIS!$F$2:$F$1002
)
)
-
SUM(
IF(
(GIRIS_CIKIS!$B$2:$B$1002="CIKIS")*
(GIRIS_CIKIS!$C$2:$C$1002=$A23)*
(GIRIS_CIKIS!$D$2:$D$1002=$B23)*
(GIRIS_CIKIS!$E$2:$E$1002="TURKUAZ"),
GIRIS_CIKIS!$F$2:$F$1002
)
),0)</f>
        <v>0</v>
      </c>
      <c r="N23" s="34" cm="1">
        <f t="array" ref="N23">IFERROR(
SUM(
IF(
(GIRIS_CIKIS!$B$2:$B$1002="GIRIS")*
(GIRIS_CIKIS!$C$2:$C$1002=$A23)*
(GIRIS_CIKIS!$D$2:$D$1002=$B23)*
(GIRIS_CIKIS!$E$2:$E$1002="SIYAH"),
GIRIS_CIKIS!$F$2:$F$1002
)
)
-
SUM(
IF(
(GIRIS_CIKIS!$B$2:$B$1002="CIKIS")*
(GIRIS_CIKIS!$C$2:$C$1002=$A23)*
(GIRIS_CIKIS!$D$2:$D$1002=$B23)*
(GIRIS_CIKIS!$E$2:$E$1002="SIYAH"),
GIRIS_CIKIS!$F$2:$F$1002
)
),0)</f>
        <v>0</v>
      </c>
      <c r="O23" s="36" cm="1">
        <f t="array" ref="O23">IFERROR(
SUM(
IF(
(GIRIS_CIKIS!$B$2:$B$1002="GIRIS")*
(GIRIS_CIKIS!$C$2:$C$1002=$A23)*
(GIRIS_CIKIS!$D$2:$D$1002=$B23)*
(GIRIS_CIKIS!$E$2:$E$1002="MAVI"),
GIRIS_CIKIS!$F$2:$F$1002
)
)
-
SUM(
IF(
(GIRIS_CIKIS!$B$2:$B$1002="CIKIS")*
(GIRIS_CIKIS!$C$2:$C$1002=$A23)*
(GIRIS_CIKIS!$D$2:$D$1002=$B23)*
(GIRIS_CIKIS!$E$2:$E$1002="MAVI"),
GIRIS_CIKIS!$F$2:$F$1002
)
),0)</f>
        <v>0</v>
      </c>
      <c r="P23" s="12">
        <f>SUM(C23:O23)</f>
        <v>54</v>
      </c>
      <c r="Q23" s="37" t="s">
        <v>51</v>
      </c>
    </row>
    <row r="24" spans="1:17" x14ac:dyDescent="0.25">
      <c r="A24" s="3" t="s">
        <v>40</v>
      </c>
      <c r="B24" s="10" t="s">
        <v>27</v>
      </c>
      <c r="C24" s="14" cm="1">
        <f t="array" ref="C24">IFERROR(
SUM(
IF(
(GIRIS_CIKIS!$B$2:$B$1002="GIRIS")*
(GIRIS_CIKIS!$C$2:$C$1002=$A24)*
(GIRIS_CIKIS!$D$2:$D$1002=$B24)*
(GIRIS_CIKIS!$E$2:$E$1002="DALDIRMA"),
GIRIS_CIKIS!$F$2:$F$1002
)
)
-
SUM(
IF(
(GIRIS_CIKIS!$B$2:$B$1002="CIKIS")*
(GIRIS_CIKIS!$C$2:$C$1002=$A24)*
(GIRIS_CIKIS!$D$2:$D$1002=$B24)*
(GIRIS_CIKIS!$E$2:$E$1002="DALDIRMA"),
GIRIS_CIKIS!$F$2:$F$1002
)
),0)</f>
        <v>102</v>
      </c>
      <c r="D24" s="16" cm="1">
        <f t="array" ref="D24">IFERROR(
SUM(
IF(
(GIRIS_CIKIS!$B$2:$B$1002="GIRIS")*
(GIRIS_CIKIS!$C$2:$C$1002=$A24)*
(GIRIS_CIKIS!$D$2:$D$1002=$B24)*
(GIRIS_CIKIS!$E$2:$E$1002="YESIL"),
GIRIS_CIKIS!$F$2:$F$1002
)
)
-
SUM(
IF(
(GIRIS_CIKIS!$B$2:$B$1002="CIKIS")*
(GIRIS_CIKIS!$C$2:$C$1002=$A24)*
(GIRIS_CIKIS!$D$2:$D$1002=$B24)*
(GIRIS_CIKIS!$E$2:$E$1002="YESIL"),
GIRIS_CIKIS!$F$2:$F$1002
)
),0)</f>
        <v>0</v>
      </c>
      <c r="E24" s="18" cm="1">
        <f t="array" ref="E24">IFERROR(
SUM(
IF(
(GIRIS_CIKIS!$B$2:$B$1002="GIRIS")*
(GIRIS_CIKIS!$C$2:$C$1002=$A24)*
(GIRIS_CIKIS!$D$2:$D$1002=$B24)*
(GIRIS_CIKIS!$E$2:$E$1002="MOR"),
GIRIS_CIKIS!$F$2:$F$1002
)
)
-
SUM(
IF(
(GIRIS_CIKIS!$B$2:$B$1002="CIKIS")*
(GIRIS_CIKIS!$C$2:$C$1002=$A24)*
(GIRIS_CIKIS!$D$2:$D$1002=$B24)*
(GIRIS_CIKIS!$E$2:$E$1002="MOR"),
GIRIS_CIKIS!$F$2:$F$1002
)
),0)</f>
        <v>0</v>
      </c>
      <c r="F24" s="20" cm="1">
        <f t="array" ref="F24">IFERROR(
SUM(
IF(
(GIRIS_CIKIS!$B$2:$B$1002="GIRIS")*
(GIRIS_CIKIS!$C$2:$C$1002=$A24)*
(GIRIS_CIKIS!$D$2:$D$1002=$B24)*
(GIRIS_CIKIS!$E$2:$E$1002="ACIK SARI"),
GIRIS_CIKIS!$F$2:$F$1002
)
)
-
SUM(
IF(
(GIRIS_CIKIS!$B$2:$B$1002="CIKIS")*
(GIRIS_CIKIS!$C$2:$C$1002=$A24)*
(GIRIS_CIKIS!$D$2:$D$1002=$B24)*
(GIRIS_CIKIS!$E$2:$E$1002="ACIK SARI"),
GIRIS_CIKIS!$F$2:$F$1002
)
),0)</f>
        <v>0</v>
      </c>
      <c r="G24" s="22" cm="1">
        <f t="array" ref="G24">IFERROR(
SUM(
IF(
(GIRIS_CIKIS!$B$2:$B$1002="GIRIS")*
(GIRIS_CIKIS!$C$2:$C$1002=$A24)*
(GIRIS_CIKIS!$D$2:$D$1002=$B24)*
(GIRIS_CIKIS!$E$2:$E$1002="SARI"),
GIRIS_CIKIS!$F$2:$F$1002
)
)
-
SUM(
IF(
(GIRIS_CIKIS!$B$2:$B$1002="CIKIS")*
(GIRIS_CIKIS!$C$2:$C$1002=$A24)*
(GIRIS_CIKIS!$D$2:$D$1002=$B24)*
(GIRIS_CIKIS!$E$2:$E$1002="SARI"),
GIRIS_CIKIS!$F$2:$F$1002
)
),0)</f>
        <v>0</v>
      </c>
      <c r="H24" s="26" cm="1">
        <f t="array" ref="H24">IFERROR(
SUM(
IF(
(GIRIS_CIKIS!$B$2:$B$1002="GIRIS")*
(GIRIS_CIKIS!$C$2:$C$1002=$A24)*
(GIRIS_CIKIS!$D$2:$D$1002=$B24)*
(GIRIS_CIKIS!$E$2:$E$1002="TURUNCU"),
GIRIS_CIKIS!$F$2:$F$1002
)
)
-
SUM(
IF(
(GIRIS_CIKIS!$B$2:$B$1002="CIKIS")*
(GIRIS_CIKIS!$C$2:$C$1002=$A24)*
(GIRIS_CIKIS!$D$2:$D$1002=$B24)*
(GIRIS_CIKIS!$E$2:$E$1002="TURUNCU"),
GIRIS_CIKIS!$F$2:$F$1002
)
),0)</f>
        <v>0</v>
      </c>
      <c r="I24" s="24" cm="1">
        <f t="array" ref="I24">IFERROR(
SUM(
IF(
(GIRIS_CIKIS!$B$2:$B$1002="GIRIS")*
(GIRIS_CIKIS!$C$2:$C$1002=$A24)*
(GIRIS_CIKIS!$D$2:$D$1002=$B24)*
(GIRIS_CIKIS!$E$2:$E$1002="KIRMIZI"),
GIRIS_CIKIS!$F$2:$F$1002
)
)
-
SUM(
IF(
(GIRIS_CIKIS!$B$2:$B$1002="CIKIS")*
(GIRIS_CIKIS!$C$2:$C$1002=$A24)*
(GIRIS_CIKIS!$D$2:$D$1002=$B24)*
(GIRIS_CIKIS!$E$2:$E$1002="KIRMIZI"),
GIRIS_CIKIS!$F$2:$F$1002
)
),0)</f>
        <v>0</v>
      </c>
      <c r="J24" s="28" cm="1">
        <f t="array" ref="J24">IFERROR(
SUM(
IF(
(GIRIS_CIKIS!$B$2:$B$1002="GIRIS")*
(GIRIS_CIKIS!$C$2:$C$1002=$A24)*
(GIRIS_CIKIS!$D$2:$D$1002=$B24)*
(GIRIS_CIKIS!$E$2:$E$1002="KAHVERENGI"),
GIRIS_CIKIS!$F$2:$F$1002
)
)
-
SUM(
IF(
(GIRIS_CIKIS!$B$2:$B$1002="CIKIS")*
(GIRIS_CIKIS!$C$2:$C$1002=$A24)*
(GIRIS_CIKIS!$D$2:$D$1002=$B24)*
(GIRIS_CIKIS!$E$2:$E$1002="KAHVERENGI"),
GIRIS_CIKIS!$F$2:$F$1002
)
),0)</f>
        <v>0</v>
      </c>
      <c r="K24" s="30" cm="1">
        <f t="array" ref="K24">IFERROR(
SUM(
IF(
(GIRIS_CIKIS!$B$2:$B$1002="GIRIS")*
(GIRIS_CIKIS!$C$2:$C$1002=$A24)*
(GIRIS_CIKIS!$D$2:$D$1002=$B24)*
(GIRIS_CIKIS!$E$2:$E$1002="ACIK MOR"),
GIRIS_CIKIS!$F$2:$F$1002
)
)
-
SUM(
IF(
(GIRIS_CIKIS!$B$2:$B$1002="CIKIS")*
(GIRIS_CIKIS!$C$2:$C$1002=$A24)*
(GIRIS_CIKIS!$D$2:$D$1002=$B24)*
(GIRIS_CIKIS!$E$2:$E$1002="ACIK MOR"),
GIRIS_CIKIS!$F$2:$F$1002
)
),0)</f>
        <v>0</v>
      </c>
      <c r="L24" s="14" cm="1">
        <f t="array" ref="L24">IFERROR(
SUM(
IF(
(GIRIS_CIKIS!$B$2:$B$1002="GIRIS")*
(GIRIS_CIKIS!$C$2:$C$1002=$A24)*
(GIRIS_CIKIS!$D$2:$D$1002=$B24)*
(GIRIS_CIKIS!$E$2:$E$1002="GRI"),
GIRIS_CIKIS!$F$2:$F$1002
)
)
-
SUM(
IF(
(GIRIS_CIKIS!$B$2:$B$1002="CIKIS")*
(GIRIS_CIKIS!$C$2:$C$1002=$A24)*
(GIRIS_CIKIS!$D$2:$D$1002=$B24)*
(GIRIS_CIKIS!$E$2:$E$1002="GRI"),
GIRIS_CIKIS!$F$2:$F$1002
)
),0)</f>
        <v>0</v>
      </c>
      <c r="M24" s="32" cm="1">
        <f t="array" ref="M24">IFERROR(
SUM(
IF(
(GIRIS_CIKIS!$B$2:$B$1002="GIRIS")*
(GIRIS_CIKIS!$C$2:$C$1002=$A24)*
(GIRIS_CIKIS!$D$2:$D$1002=$B24)*
(GIRIS_CIKIS!$E$2:$E$1002="TURKUAZ"),
GIRIS_CIKIS!$F$2:$F$1002
)
)
-
SUM(
IF(
(GIRIS_CIKIS!$B$2:$B$1002="CIKIS")*
(GIRIS_CIKIS!$C$2:$C$1002=$A24)*
(GIRIS_CIKIS!$D$2:$D$1002=$B24)*
(GIRIS_CIKIS!$E$2:$E$1002="TURKUAZ"),
GIRIS_CIKIS!$F$2:$F$1002
)
),0)</f>
        <v>0</v>
      </c>
      <c r="N24" s="34" cm="1">
        <f t="array" ref="N24">IFERROR(
SUM(
IF(
(GIRIS_CIKIS!$B$2:$B$1002="GIRIS")*
(GIRIS_CIKIS!$C$2:$C$1002=$A24)*
(GIRIS_CIKIS!$D$2:$D$1002=$B24)*
(GIRIS_CIKIS!$E$2:$E$1002="SIYAH"),
GIRIS_CIKIS!$F$2:$F$1002
)
)
-
SUM(
IF(
(GIRIS_CIKIS!$B$2:$B$1002="CIKIS")*
(GIRIS_CIKIS!$C$2:$C$1002=$A24)*
(GIRIS_CIKIS!$D$2:$D$1002=$B24)*
(GIRIS_CIKIS!$E$2:$E$1002="SIYAH"),
GIRIS_CIKIS!$F$2:$F$1002
)
),0)</f>
        <v>0</v>
      </c>
      <c r="O24" s="36" cm="1">
        <f t="array" ref="O24">IFERROR(
SUM(
IF(
(GIRIS_CIKIS!$B$2:$B$1002="GIRIS")*
(GIRIS_CIKIS!$C$2:$C$1002=$A24)*
(GIRIS_CIKIS!$D$2:$D$1002=$B24)*
(GIRIS_CIKIS!$E$2:$E$1002="MAVI"),
GIRIS_CIKIS!$F$2:$F$1002
)
)
-
SUM(
IF(
(GIRIS_CIKIS!$B$2:$B$1002="CIKIS")*
(GIRIS_CIKIS!$C$2:$C$1002=$A24)*
(GIRIS_CIKIS!$D$2:$D$1002=$B24)*
(GIRIS_CIKIS!$E$2:$E$1002="MAVI"),
GIRIS_CIKIS!$F$2:$F$1002
)
),0)</f>
        <v>0</v>
      </c>
      <c r="P24" s="12">
        <f>SUM(C24:O24)</f>
        <v>102</v>
      </c>
      <c r="Q24" s="37" t="s">
        <v>51</v>
      </c>
    </row>
    <row r="25" spans="1:17" x14ac:dyDescent="0.25">
      <c r="A25" s="3" t="s">
        <v>40</v>
      </c>
      <c r="B25" s="10" t="s">
        <v>28</v>
      </c>
      <c r="C25" s="14" cm="1">
        <f t="array" ref="C25">IFERROR(
SUM(
IF(
(GIRIS_CIKIS!$B$2:$B$1002="GIRIS")*
(GIRIS_CIKIS!$C$2:$C$1002=$A25)*
(GIRIS_CIKIS!$D$2:$D$1002=$B25)*
(GIRIS_CIKIS!$E$2:$E$1002="DALDIRMA"),
GIRIS_CIKIS!$F$2:$F$1002
)
)
-
SUM(
IF(
(GIRIS_CIKIS!$B$2:$B$1002="CIKIS")*
(GIRIS_CIKIS!$C$2:$C$1002=$A25)*
(GIRIS_CIKIS!$D$2:$D$1002=$B25)*
(GIRIS_CIKIS!$E$2:$E$1002="DALDIRMA"),
GIRIS_CIKIS!$F$2:$F$1002
)
),0)</f>
        <v>30</v>
      </c>
      <c r="D25" s="16" cm="1">
        <f t="array" ref="D25">IFERROR(
SUM(
IF(
(GIRIS_CIKIS!$B$2:$B$1002="GIRIS")*
(GIRIS_CIKIS!$C$2:$C$1002=$A25)*
(GIRIS_CIKIS!$D$2:$D$1002=$B25)*
(GIRIS_CIKIS!$E$2:$E$1002="YESIL"),
GIRIS_CIKIS!$F$2:$F$1002
)
)
-
SUM(
IF(
(GIRIS_CIKIS!$B$2:$B$1002="CIKIS")*
(GIRIS_CIKIS!$C$2:$C$1002=$A25)*
(GIRIS_CIKIS!$D$2:$D$1002=$B25)*
(GIRIS_CIKIS!$E$2:$E$1002="YESIL"),
GIRIS_CIKIS!$F$2:$F$1002
)
),0)</f>
        <v>0</v>
      </c>
      <c r="E25" s="18" cm="1">
        <f t="array" ref="E25">IFERROR(
SUM(
IF(
(GIRIS_CIKIS!$B$2:$B$1002="GIRIS")*
(GIRIS_CIKIS!$C$2:$C$1002=$A25)*
(GIRIS_CIKIS!$D$2:$D$1002=$B25)*
(GIRIS_CIKIS!$E$2:$E$1002="MOR"),
GIRIS_CIKIS!$F$2:$F$1002
)
)
-
SUM(
IF(
(GIRIS_CIKIS!$B$2:$B$1002="CIKIS")*
(GIRIS_CIKIS!$C$2:$C$1002=$A25)*
(GIRIS_CIKIS!$D$2:$D$1002=$B25)*
(GIRIS_CIKIS!$E$2:$E$1002="MOR"),
GIRIS_CIKIS!$F$2:$F$1002
)
),0)</f>
        <v>0</v>
      </c>
      <c r="F25" s="20" cm="1">
        <f t="array" ref="F25">IFERROR(
SUM(
IF(
(GIRIS_CIKIS!$B$2:$B$1002="GIRIS")*
(GIRIS_CIKIS!$C$2:$C$1002=$A25)*
(GIRIS_CIKIS!$D$2:$D$1002=$B25)*
(GIRIS_CIKIS!$E$2:$E$1002="ACIK SARI"),
GIRIS_CIKIS!$F$2:$F$1002
)
)
-
SUM(
IF(
(GIRIS_CIKIS!$B$2:$B$1002="CIKIS")*
(GIRIS_CIKIS!$C$2:$C$1002=$A25)*
(GIRIS_CIKIS!$D$2:$D$1002=$B25)*
(GIRIS_CIKIS!$E$2:$E$1002="ACIK SARI"),
GIRIS_CIKIS!$F$2:$F$1002
)
),0)</f>
        <v>0</v>
      </c>
      <c r="G25" s="22" cm="1">
        <f t="array" ref="G25">IFERROR(
SUM(
IF(
(GIRIS_CIKIS!$B$2:$B$1002="GIRIS")*
(GIRIS_CIKIS!$C$2:$C$1002=$A25)*
(GIRIS_CIKIS!$D$2:$D$1002=$B25)*
(GIRIS_CIKIS!$E$2:$E$1002="SARI"),
GIRIS_CIKIS!$F$2:$F$1002
)
)
-
SUM(
IF(
(GIRIS_CIKIS!$B$2:$B$1002="CIKIS")*
(GIRIS_CIKIS!$C$2:$C$1002=$A25)*
(GIRIS_CIKIS!$D$2:$D$1002=$B25)*
(GIRIS_CIKIS!$E$2:$E$1002="SARI"),
GIRIS_CIKIS!$F$2:$F$1002
)
),0)</f>
        <v>0</v>
      </c>
      <c r="H25" s="26" cm="1">
        <f t="array" ref="H25">IFERROR(
SUM(
IF(
(GIRIS_CIKIS!$B$2:$B$1002="GIRIS")*
(GIRIS_CIKIS!$C$2:$C$1002=$A25)*
(GIRIS_CIKIS!$D$2:$D$1002=$B25)*
(GIRIS_CIKIS!$E$2:$E$1002="TURUNCU"),
GIRIS_CIKIS!$F$2:$F$1002
)
)
-
SUM(
IF(
(GIRIS_CIKIS!$B$2:$B$1002="CIKIS")*
(GIRIS_CIKIS!$C$2:$C$1002=$A25)*
(GIRIS_CIKIS!$D$2:$D$1002=$B25)*
(GIRIS_CIKIS!$E$2:$E$1002="TURUNCU"),
GIRIS_CIKIS!$F$2:$F$1002
)
),0)</f>
        <v>0</v>
      </c>
      <c r="I25" s="24" cm="1">
        <f t="array" ref="I25">IFERROR(
SUM(
IF(
(GIRIS_CIKIS!$B$2:$B$1002="GIRIS")*
(GIRIS_CIKIS!$C$2:$C$1002=$A25)*
(GIRIS_CIKIS!$D$2:$D$1002=$B25)*
(GIRIS_CIKIS!$E$2:$E$1002="KIRMIZI"),
GIRIS_CIKIS!$F$2:$F$1002
)
)
-
SUM(
IF(
(GIRIS_CIKIS!$B$2:$B$1002="CIKIS")*
(GIRIS_CIKIS!$C$2:$C$1002=$A25)*
(GIRIS_CIKIS!$D$2:$D$1002=$B25)*
(GIRIS_CIKIS!$E$2:$E$1002="KIRMIZI"),
GIRIS_CIKIS!$F$2:$F$1002
)
),0)</f>
        <v>0</v>
      </c>
      <c r="J25" s="28" cm="1">
        <f t="array" ref="J25">IFERROR(
SUM(
IF(
(GIRIS_CIKIS!$B$2:$B$1002="GIRIS")*
(GIRIS_CIKIS!$C$2:$C$1002=$A25)*
(GIRIS_CIKIS!$D$2:$D$1002=$B25)*
(GIRIS_CIKIS!$E$2:$E$1002="KAHVERENGI"),
GIRIS_CIKIS!$F$2:$F$1002
)
)
-
SUM(
IF(
(GIRIS_CIKIS!$B$2:$B$1002="CIKIS")*
(GIRIS_CIKIS!$C$2:$C$1002=$A25)*
(GIRIS_CIKIS!$D$2:$D$1002=$B25)*
(GIRIS_CIKIS!$E$2:$E$1002="KAHVERENGI"),
GIRIS_CIKIS!$F$2:$F$1002
)
),0)</f>
        <v>0</v>
      </c>
      <c r="K25" s="30" cm="1">
        <f t="array" ref="K25">IFERROR(
SUM(
IF(
(GIRIS_CIKIS!$B$2:$B$1002="GIRIS")*
(GIRIS_CIKIS!$C$2:$C$1002=$A25)*
(GIRIS_CIKIS!$D$2:$D$1002=$B25)*
(GIRIS_CIKIS!$E$2:$E$1002="ACIK MOR"),
GIRIS_CIKIS!$F$2:$F$1002
)
)
-
SUM(
IF(
(GIRIS_CIKIS!$B$2:$B$1002="CIKIS")*
(GIRIS_CIKIS!$C$2:$C$1002=$A25)*
(GIRIS_CIKIS!$D$2:$D$1002=$B25)*
(GIRIS_CIKIS!$E$2:$E$1002="ACIK MOR"),
GIRIS_CIKIS!$F$2:$F$1002
)
),0)</f>
        <v>0</v>
      </c>
      <c r="L25" s="14" cm="1">
        <f t="array" ref="L25">IFERROR(
SUM(
IF(
(GIRIS_CIKIS!$B$2:$B$1002="GIRIS")*
(GIRIS_CIKIS!$C$2:$C$1002=$A25)*
(GIRIS_CIKIS!$D$2:$D$1002=$B25)*
(GIRIS_CIKIS!$E$2:$E$1002="GRI"),
GIRIS_CIKIS!$F$2:$F$1002
)
)
-
SUM(
IF(
(GIRIS_CIKIS!$B$2:$B$1002="CIKIS")*
(GIRIS_CIKIS!$C$2:$C$1002=$A25)*
(GIRIS_CIKIS!$D$2:$D$1002=$B25)*
(GIRIS_CIKIS!$E$2:$E$1002="GRI"),
GIRIS_CIKIS!$F$2:$F$1002
)
),0)</f>
        <v>0</v>
      </c>
      <c r="M25" s="32" cm="1">
        <f t="array" ref="M25">IFERROR(
SUM(
IF(
(GIRIS_CIKIS!$B$2:$B$1002="GIRIS")*
(GIRIS_CIKIS!$C$2:$C$1002=$A25)*
(GIRIS_CIKIS!$D$2:$D$1002=$B25)*
(GIRIS_CIKIS!$E$2:$E$1002="TURKUAZ"),
GIRIS_CIKIS!$F$2:$F$1002
)
)
-
SUM(
IF(
(GIRIS_CIKIS!$B$2:$B$1002="CIKIS")*
(GIRIS_CIKIS!$C$2:$C$1002=$A25)*
(GIRIS_CIKIS!$D$2:$D$1002=$B25)*
(GIRIS_CIKIS!$E$2:$E$1002="TURKUAZ"),
GIRIS_CIKIS!$F$2:$F$1002
)
),0)</f>
        <v>0</v>
      </c>
      <c r="N25" s="34" cm="1">
        <f t="array" ref="N25">IFERROR(
SUM(
IF(
(GIRIS_CIKIS!$B$2:$B$1002="GIRIS")*
(GIRIS_CIKIS!$C$2:$C$1002=$A25)*
(GIRIS_CIKIS!$D$2:$D$1002=$B25)*
(GIRIS_CIKIS!$E$2:$E$1002="SIYAH"),
GIRIS_CIKIS!$F$2:$F$1002
)
)
-
SUM(
IF(
(GIRIS_CIKIS!$B$2:$B$1002="CIKIS")*
(GIRIS_CIKIS!$C$2:$C$1002=$A25)*
(GIRIS_CIKIS!$D$2:$D$1002=$B25)*
(GIRIS_CIKIS!$E$2:$E$1002="SIYAH"),
GIRIS_CIKIS!$F$2:$F$1002
)
),0)</f>
        <v>0</v>
      </c>
      <c r="O25" s="36" cm="1">
        <f t="array" ref="O25">IFERROR(
SUM(
IF(
(GIRIS_CIKIS!$B$2:$B$1002="GIRIS")*
(GIRIS_CIKIS!$C$2:$C$1002=$A25)*
(GIRIS_CIKIS!$D$2:$D$1002=$B25)*
(GIRIS_CIKIS!$E$2:$E$1002="MAVI"),
GIRIS_CIKIS!$F$2:$F$1002
)
)
-
SUM(
IF(
(GIRIS_CIKIS!$B$2:$B$1002="CIKIS")*
(GIRIS_CIKIS!$C$2:$C$1002=$A25)*
(GIRIS_CIKIS!$D$2:$D$1002=$B25)*
(GIRIS_CIKIS!$E$2:$E$1002="MAVI"),
GIRIS_CIKIS!$F$2:$F$1002
)
),0)</f>
        <v>0</v>
      </c>
      <c r="P25" s="12">
        <f>SUM(C25:O25)</f>
        <v>30</v>
      </c>
      <c r="Q25" s="37" t="s">
        <v>51</v>
      </c>
    </row>
    <row r="26" spans="1:17" x14ac:dyDescent="0.25">
      <c r="A26" s="3" t="s">
        <v>34</v>
      </c>
      <c r="B26" s="10" t="s">
        <v>29</v>
      </c>
      <c r="C26" s="14" cm="1">
        <f t="array" ref="C26">IFERROR(
SUM(
IF(
(GIRIS_CIKIS!$B$2:$B$1002="GIRIS")*
(GIRIS_CIKIS!$C$2:$C$1002=$A26)*
(GIRIS_CIKIS!$D$2:$D$1002=$B26)*
(GIRIS_CIKIS!$E$2:$E$1002="DALDIRMA"),
GIRIS_CIKIS!$F$2:$F$1002
)
)
-
SUM(
IF(
(GIRIS_CIKIS!$B$2:$B$1002="CIKIS")*
(GIRIS_CIKIS!$C$2:$C$1002=$A26)*
(GIRIS_CIKIS!$D$2:$D$1002=$B26)*
(GIRIS_CIKIS!$E$2:$E$1002="DALDIRMA"),
GIRIS_CIKIS!$F$2:$F$1002
)
),0)</f>
        <v>0</v>
      </c>
      <c r="D26" s="16" cm="1">
        <f t="array" ref="D26">IFERROR(
SUM(
IF(
(GIRIS_CIKIS!$B$2:$B$1002="GIRIS")*
(GIRIS_CIKIS!$C$2:$C$1002=$A26)*
(GIRIS_CIKIS!$D$2:$D$1002=$B26)*
(GIRIS_CIKIS!$E$2:$E$1002="YESIL"),
GIRIS_CIKIS!$F$2:$F$1002
)
)
-
SUM(
IF(
(GIRIS_CIKIS!$B$2:$B$1002="CIKIS")*
(GIRIS_CIKIS!$C$2:$C$1002=$A26)*
(GIRIS_CIKIS!$D$2:$D$1002=$B26)*
(GIRIS_CIKIS!$E$2:$E$1002="YESIL"),
GIRIS_CIKIS!$F$2:$F$1002
)
),0)</f>
        <v>60</v>
      </c>
      <c r="E26" s="18" cm="1">
        <f t="array" ref="E26">IFERROR(
SUM(
IF(
(GIRIS_CIKIS!$B$2:$B$1002="GIRIS")*
(GIRIS_CIKIS!$C$2:$C$1002=$A26)*
(GIRIS_CIKIS!$D$2:$D$1002=$B26)*
(GIRIS_CIKIS!$E$2:$E$1002="MOR"),
GIRIS_CIKIS!$F$2:$F$1002
)
)
-
SUM(
IF(
(GIRIS_CIKIS!$B$2:$B$1002="CIKIS")*
(GIRIS_CIKIS!$C$2:$C$1002=$A26)*
(GIRIS_CIKIS!$D$2:$D$1002=$B26)*
(GIRIS_CIKIS!$E$2:$E$1002="MOR"),
GIRIS_CIKIS!$F$2:$F$1002
)
),0)</f>
        <v>0</v>
      </c>
      <c r="F26" s="20" cm="1">
        <f t="array" ref="F26">IFERROR(
SUM(
IF(
(GIRIS_CIKIS!$B$2:$B$1002="GIRIS")*
(GIRIS_CIKIS!$C$2:$C$1002=$A26)*
(GIRIS_CIKIS!$D$2:$D$1002=$B26)*
(GIRIS_CIKIS!$E$2:$E$1002="ACIK SARI"),
GIRIS_CIKIS!$F$2:$F$1002
)
)
-
SUM(
IF(
(GIRIS_CIKIS!$B$2:$B$1002="CIKIS")*
(GIRIS_CIKIS!$C$2:$C$1002=$A26)*
(GIRIS_CIKIS!$D$2:$D$1002=$B26)*
(GIRIS_CIKIS!$E$2:$E$1002="ACIK SARI"),
GIRIS_CIKIS!$F$2:$F$1002
)
),0)</f>
        <v>0</v>
      </c>
      <c r="G26" s="22" cm="1">
        <f t="array" ref="G26">IFERROR(
SUM(
IF(
(GIRIS_CIKIS!$B$2:$B$1002="GIRIS")*
(GIRIS_CIKIS!$C$2:$C$1002=$A26)*
(GIRIS_CIKIS!$D$2:$D$1002=$B26)*
(GIRIS_CIKIS!$E$2:$E$1002="SARI"),
GIRIS_CIKIS!$F$2:$F$1002
)
)
-
SUM(
IF(
(GIRIS_CIKIS!$B$2:$B$1002="CIKIS")*
(GIRIS_CIKIS!$C$2:$C$1002=$A26)*
(GIRIS_CIKIS!$D$2:$D$1002=$B26)*
(GIRIS_CIKIS!$E$2:$E$1002="SARI"),
GIRIS_CIKIS!$F$2:$F$1002
)
),0)</f>
        <v>0</v>
      </c>
      <c r="H26" s="26" cm="1">
        <f t="array" ref="H26">IFERROR(
SUM(
IF(
(GIRIS_CIKIS!$B$2:$B$1002="GIRIS")*
(GIRIS_CIKIS!$C$2:$C$1002=$A26)*
(GIRIS_CIKIS!$D$2:$D$1002=$B26)*
(GIRIS_CIKIS!$E$2:$E$1002="TURUNCU"),
GIRIS_CIKIS!$F$2:$F$1002
)
)
-
SUM(
IF(
(GIRIS_CIKIS!$B$2:$B$1002="CIKIS")*
(GIRIS_CIKIS!$C$2:$C$1002=$A26)*
(GIRIS_CIKIS!$D$2:$D$1002=$B26)*
(GIRIS_CIKIS!$E$2:$E$1002="TURUNCU"),
GIRIS_CIKIS!$F$2:$F$1002
)
),0)</f>
        <v>0</v>
      </c>
      <c r="I26" s="24" cm="1">
        <f t="array" ref="I26">IFERROR(
SUM(
IF(
(GIRIS_CIKIS!$B$2:$B$1002="GIRIS")*
(GIRIS_CIKIS!$C$2:$C$1002=$A26)*
(GIRIS_CIKIS!$D$2:$D$1002=$B26)*
(GIRIS_CIKIS!$E$2:$E$1002="KIRMIZI"),
GIRIS_CIKIS!$F$2:$F$1002
)
)
-
SUM(
IF(
(GIRIS_CIKIS!$B$2:$B$1002="CIKIS")*
(GIRIS_CIKIS!$C$2:$C$1002=$A26)*
(GIRIS_CIKIS!$D$2:$D$1002=$B26)*
(GIRIS_CIKIS!$E$2:$E$1002="KIRMIZI"),
GIRIS_CIKIS!$F$2:$F$1002
)
),0)</f>
        <v>0</v>
      </c>
      <c r="J26" s="28" cm="1">
        <f t="array" ref="J26">IFERROR(
SUM(
IF(
(GIRIS_CIKIS!$B$2:$B$1002="GIRIS")*
(GIRIS_CIKIS!$C$2:$C$1002=$A26)*
(GIRIS_CIKIS!$D$2:$D$1002=$B26)*
(GIRIS_CIKIS!$E$2:$E$1002="KAHVERENGI"),
GIRIS_CIKIS!$F$2:$F$1002
)
)
-
SUM(
IF(
(GIRIS_CIKIS!$B$2:$B$1002="CIKIS")*
(GIRIS_CIKIS!$C$2:$C$1002=$A26)*
(GIRIS_CIKIS!$D$2:$D$1002=$B26)*
(GIRIS_CIKIS!$E$2:$E$1002="KAHVERENGI"),
GIRIS_CIKIS!$F$2:$F$1002
)
),0)</f>
        <v>0</v>
      </c>
      <c r="K26" s="30" cm="1">
        <f t="array" ref="K26">IFERROR(
SUM(
IF(
(GIRIS_CIKIS!$B$2:$B$1002="GIRIS")*
(GIRIS_CIKIS!$C$2:$C$1002=$A26)*
(GIRIS_CIKIS!$D$2:$D$1002=$B26)*
(GIRIS_CIKIS!$E$2:$E$1002="ACIK MOR"),
GIRIS_CIKIS!$F$2:$F$1002
)
)
-
SUM(
IF(
(GIRIS_CIKIS!$B$2:$B$1002="CIKIS")*
(GIRIS_CIKIS!$C$2:$C$1002=$A26)*
(GIRIS_CIKIS!$D$2:$D$1002=$B26)*
(GIRIS_CIKIS!$E$2:$E$1002="ACIK MOR"),
GIRIS_CIKIS!$F$2:$F$1002
)
),0)</f>
        <v>0</v>
      </c>
      <c r="L26" s="14" cm="1">
        <f t="array" ref="L26">IFERROR(
SUM(
IF(
(GIRIS_CIKIS!$B$2:$B$1002="GIRIS")*
(GIRIS_CIKIS!$C$2:$C$1002=$A26)*
(GIRIS_CIKIS!$D$2:$D$1002=$B26)*
(GIRIS_CIKIS!$E$2:$E$1002="GRI"),
GIRIS_CIKIS!$F$2:$F$1002
)
)
-
SUM(
IF(
(GIRIS_CIKIS!$B$2:$B$1002="CIKIS")*
(GIRIS_CIKIS!$C$2:$C$1002=$A26)*
(GIRIS_CIKIS!$D$2:$D$1002=$B26)*
(GIRIS_CIKIS!$E$2:$E$1002="GRI"),
GIRIS_CIKIS!$F$2:$F$1002
)
),0)</f>
        <v>0</v>
      </c>
      <c r="M26" s="32" cm="1">
        <f t="array" ref="M26">IFERROR(
SUM(
IF(
(GIRIS_CIKIS!$B$2:$B$1002="GIRIS")*
(GIRIS_CIKIS!$C$2:$C$1002=$A26)*
(GIRIS_CIKIS!$D$2:$D$1002=$B26)*
(GIRIS_CIKIS!$E$2:$E$1002="TURKUAZ"),
GIRIS_CIKIS!$F$2:$F$1002
)
)
-
SUM(
IF(
(GIRIS_CIKIS!$B$2:$B$1002="CIKIS")*
(GIRIS_CIKIS!$C$2:$C$1002=$A26)*
(GIRIS_CIKIS!$D$2:$D$1002=$B26)*
(GIRIS_CIKIS!$E$2:$E$1002="TURKUAZ"),
GIRIS_CIKIS!$F$2:$F$1002
)
),0)</f>
        <v>0</v>
      </c>
      <c r="N26" s="34" cm="1">
        <f t="array" ref="N26">IFERROR(
SUM(
IF(
(GIRIS_CIKIS!$B$2:$B$1002="GIRIS")*
(GIRIS_CIKIS!$C$2:$C$1002=$A26)*
(GIRIS_CIKIS!$D$2:$D$1002=$B26)*
(GIRIS_CIKIS!$E$2:$E$1002="SIYAH"),
GIRIS_CIKIS!$F$2:$F$1002
)
)
-
SUM(
IF(
(GIRIS_CIKIS!$B$2:$B$1002="CIKIS")*
(GIRIS_CIKIS!$C$2:$C$1002=$A26)*
(GIRIS_CIKIS!$D$2:$D$1002=$B26)*
(GIRIS_CIKIS!$E$2:$E$1002="SIYAH"),
GIRIS_CIKIS!$F$2:$F$1002
)
),0)</f>
        <v>0</v>
      </c>
      <c r="O26" s="36" cm="1">
        <f t="array" ref="O26">IFERROR(
SUM(
IF(
(GIRIS_CIKIS!$B$2:$B$1002="GIRIS")*
(GIRIS_CIKIS!$C$2:$C$1002=$A26)*
(GIRIS_CIKIS!$D$2:$D$1002=$B26)*
(GIRIS_CIKIS!$E$2:$E$1002="MAVI"),
GIRIS_CIKIS!$F$2:$F$1002
)
)
-
SUM(
IF(
(GIRIS_CIKIS!$B$2:$B$1002="CIKIS")*
(GIRIS_CIKIS!$C$2:$C$1002=$A26)*
(GIRIS_CIKIS!$D$2:$D$1002=$B26)*
(GIRIS_CIKIS!$E$2:$E$1002="MAVI"),
GIRIS_CIKIS!$F$2:$F$1002
)
),0)</f>
        <v>0</v>
      </c>
      <c r="P26" s="12">
        <f>SUM(C26:O26)</f>
        <v>60</v>
      </c>
      <c r="Q26" s="3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946E-4717-4453-91B4-A47F3C48629F}">
  <sheetPr>
    <tabColor theme="0" tint="-0.499984740745262"/>
  </sheetPr>
  <dimension ref="B1:J24"/>
  <sheetViews>
    <sheetView workbookViewId="0">
      <selection activeCell="J35" sqref="J35"/>
    </sheetView>
  </sheetViews>
  <sheetFormatPr defaultRowHeight="15" x14ac:dyDescent="0.25"/>
  <cols>
    <col min="2" max="2" width="34.7109375" bestFit="1" customWidth="1"/>
    <col min="8" max="8" width="12.42578125" bestFit="1" customWidth="1"/>
    <col min="10" max="10" width="14.140625" bestFit="1" customWidth="1"/>
  </cols>
  <sheetData>
    <row r="1" spans="2:10" x14ac:dyDescent="0.25">
      <c r="B1" t="s">
        <v>31</v>
      </c>
      <c r="E1" t="s">
        <v>45</v>
      </c>
      <c r="H1" t="s">
        <v>5</v>
      </c>
      <c r="J1" s="1" t="s">
        <v>34</v>
      </c>
    </row>
    <row r="2" spans="2:10" x14ac:dyDescent="0.25">
      <c r="B2" t="s">
        <v>9</v>
      </c>
      <c r="E2" t="s">
        <v>44</v>
      </c>
      <c r="H2" t="s">
        <v>46</v>
      </c>
      <c r="J2" s="1" t="s">
        <v>40</v>
      </c>
    </row>
    <row r="3" spans="2:10" x14ac:dyDescent="0.25">
      <c r="B3" t="s">
        <v>10</v>
      </c>
      <c r="H3" t="s">
        <v>2</v>
      </c>
      <c r="J3" s="1" t="s">
        <v>41</v>
      </c>
    </row>
    <row r="4" spans="2:10" x14ac:dyDescent="0.25">
      <c r="B4" t="s">
        <v>11</v>
      </c>
      <c r="H4" t="s">
        <v>32</v>
      </c>
      <c r="J4" s="1" t="s">
        <v>30</v>
      </c>
    </row>
    <row r="5" spans="2:10" x14ac:dyDescent="0.25">
      <c r="B5" t="s">
        <v>12</v>
      </c>
      <c r="H5" t="s">
        <v>3</v>
      </c>
    </row>
    <row r="6" spans="2:10" x14ac:dyDescent="0.25">
      <c r="B6" t="s">
        <v>42</v>
      </c>
      <c r="H6" t="s">
        <v>4</v>
      </c>
    </row>
    <row r="7" spans="2:10" x14ac:dyDescent="0.25">
      <c r="B7" t="s">
        <v>43</v>
      </c>
      <c r="H7" t="s">
        <v>5</v>
      </c>
    </row>
    <row r="8" spans="2:10" x14ac:dyDescent="0.25">
      <c r="B8" t="s">
        <v>13</v>
      </c>
      <c r="H8" t="s">
        <v>47</v>
      </c>
    </row>
    <row r="9" spans="2:10" x14ac:dyDescent="0.25">
      <c r="B9" t="s">
        <v>14</v>
      </c>
      <c r="H9" t="s">
        <v>33</v>
      </c>
    </row>
    <row r="10" spans="2:10" x14ac:dyDescent="0.25">
      <c r="B10" t="s">
        <v>15</v>
      </c>
      <c r="H10" t="s">
        <v>36</v>
      </c>
    </row>
    <row r="11" spans="2:10" x14ac:dyDescent="0.25">
      <c r="B11" t="s">
        <v>16</v>
      </c>
      <c r="H11" t="s">
        <v>6</v>
      </c>
    </row>
    <row r="12" spans="2:10" x14ac:dyDescent="0.25">
      <c r="B12" t="s">
        <v>17</v>
      </c>
      <c r="H12" t="s">
        <v>37</v>
      </c>
    </row>
    <row r="13" spans="2:10" x14ac:dyDescent="0.25">
      <c r="B13" t="s">
        <v>18</v>
      </c>
      <c r="H13" t="s">
        <v>38</v>
      </c>
    </row>
    <row r="14" spans="2:10" x14ac:dyDescent="0.25">
      <c r="B14" t="s">
        <v>19</v>
      </c>
      <c r="H14" t="s">
        <v>1</v>
      </c>
    </row>
    <row r="15" spans="2:10" x14ac:dyDescent="0.25">
      <c r="B15" t="s">
        <v>20</v>
      </c>
    </row>
    <row r="16" spans="2:10" x14ac:dyDescent="0.25">
      <c r="B16" t="s">
        <v>21</v>
      </c>
    </row>
    <row r="17" spans="2:2" x14ac:dyDescent="0.25">
      <c r="B17" t="s">
        <v>22</v>
      </c>
    </row>
    <row r="18" spans="2:2" x14ac:dyDescent="0.25">
      <c r="B18" t="s">
        <v>23</v>
      </c>
    </row>
    <row r="19" spans="2:2" x14ac:dyDescent="0.25">
      <c r="B19" t="s">
        <v>24</v>
      </c>
    </row>
    <row r="20" spans="2:2" x14ac:dyDescent="0.25">
      <c r="B20" t="s">
        <v>25</v>
      </c>
    </row>
    <row r="21" spans="2:2" x14ac:dyDescent="0.25">
      <c r="B21" t="s">
        <v>26</v>
      </c>
    </row>
    <row r="22" spans="2:2" x14ac:dyDescent="0.25">
      <c r="B22" t="s">
        <v>27</v>
      </c>
    </row>
    <row r="23" spans="2:2" x14ac:dyDescent="0.25">
      <c r="B23" t="s">
        <v>28</v>
      </c>
    </row>
    <row r="24" spans="2:2" x14ac:dyDescent="0.25">
      <c r="B2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GIRIS_CIKIS</vt:lpstr>
      <vt:lpstr>STOK</vt:lpstr>
      <vt:lpstr>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Akın ALTINOK</dc:creator>
  <cp:lastModifiedBy>Akın ALTINOK</cp:lastModifiedBy>
  <dcterms:created xsi:type="dcterms:W3CDTF">2026-01-29T12:32:29Z</dcterms:created>
  <dcterms:modified xsi:type="dcterms:W3CDTF">2026-01-29T14:49:32Z</dcterms:modified>
</cp:coreProperties>
</file>